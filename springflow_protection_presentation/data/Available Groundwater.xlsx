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dwardsaquifer-my.sharepoint.com/personal/cfurl_edwardsaquifer_org/Documents/SC_meetings/sep_2026/fall_meeting/EAHCP-Fall-2026-Sci-Comm/springflow_protection_presentation/data/"/>
    </mc:Choice>
  </mc:AlternateContent>
  <xr:revisionPtr revIDLastSave="791" documentId="13_ncr:1_{6DC09DC3-0C28-4D91-8D4B-2D7BD8E7CACB}" xr6:coauthVersionLast="47" xr6:coauthVersionMax="47" xr10:uidLastSave="{80336AB9-0C24-45A0-8702-E010EB7A24C3}"/>
  <bookViews>
    <workbookView xWindow="-120" yWindow="-120" windowWidth="29040" windowHeight="15720" xr2:uid="{00000000-000D-0000-FFFF-FFFF00000000}"/>
  </bookViews>
  <sheets>
    <sheet name="Summary" sheetId="3" r:id="rId1"/>
    <sheet name="Permitted" sheetId="6" r:id="rId2"/>
    <sheet name="Pumped" sheetId="2" r:id="rId3"/>
    <sheet name="Recharge" sheetId="8" r:id="rId4"/>
  </sheets>
  <definedNames>
    <definedName name="_xlnm.Print_Area" localSheetId="1">Permitted!$A$1:$J$36</definedName>
    <definedName name="_xlnm.Print_Area" localSheetId="2">Pumped!$J$1:$Q$52</definedName>
    <definedName name="_xlnm.Print_Area" localSheetId="0">Summary!$B$2:$J$20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3" l="1"/>
  <c r="E12" i="6"/>
  <c r="H3" i="2" l="1"/>
  <c r="G128" i="2"/>
  <c r="H128" i="2" s="1"/>
  <c r="F128" i="2"/>
  <c r="E7" i="8"/>
  <c r="D30" i="8"/>
  <c r="D29" i="8"/>
  <c r="I19" i="3" l="1"/>
  <c r="I20" i="3"/>
  <c r="I17" i="3" l="1"/>
  <c r="D18" i="3"/>
  <c r="E18" i="3"/>
  <c r="D19" i="3"/>
  <c r="E19" i="3"/>
  <c r="D60" i="3"/>
  <c r="E60" i="3"/>
  <c r="H60" i="3"/>
  <c r="I60" i="3"/>
  <c r="D61" i="3"/>
  <c r="E61" i="3"/>
  <c r="H61" i="3"/>
  <c r="I61" i="3"/>
  <c r="D62" i="3"/>
  <c r="E62" i="3"/>
  <c r="H62" i="3"/>
  <c r="I62" i="3"/>
  <c r="D39" i="3"/>
  <c r="E39" i="3"/>
  <c r="H39" i="3"/>
  <c r="I39" i="3"/>
  <c r="D40" i="3"/>
  <c r="E40" i="3"/>
  <c r="H40" i="3"/>
  <c r="I40" i="3"/>
  <c r="D41" i="3"/>
  <c r="E41" i="3"/>
  <c r="H41" i="3"/>
  <c r="I41" i="3"/>
  <c r="M39" i="2"/>
  <c r="K25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K40" i="2"/>
  <c r="L40" i="2"/>
  <c r="M40" i="2"/>
  <c r="L17" i="2"/>
  <c r="M17" i="2"/>
  <c r="L18" i="2"/>
  <c r="M18" i="2"/>
  <c r="K17" i="2"/>
  <c r="K18" i="2"/>
  <c r="G127" i="2"/>
  <c r="F127" i="2"/>
  <c r="E20" i="3" l="1"/>
  <c r="K20" i="3" s="1"/>
  <c r="D20" i="3"/>
  <c r="M62" i="2"/>
  <c r="M61" i="2"/>
  <c r="L62" i="2"/>
  <c r="K62" i="2"/>
  <c r="H127" i="2"/>
  <c r="L61" i="2"/>
  <c r="K61" i="2"/>
  <c r="I6" i="3"/>
  <c r="I7" i="3"/>
  <c r="I8" i="3"/>
  <c r="I9" i="3"/>
  <c r="I10" i="3"/>
  <c r="I11" i="3"/>
  <c r="I12" i="3"/>
  <c r="I13" i="3"/>
  <c r="I14" i="3"/>
  <c r="I15" i="3"/>
  <c r="I16" i="3"/>
  <c r="I18" i="3"/>
  <c r="I5" i="3"/>
  <c r="D26" i="8"/>
  <c r="D27" i="8"/>
  <c r="D28" i="8"/>
  <c r="D21" i="8"/>
  <c r="D22" i="8"/>
  <c r="D23" i="8"/>
  <c r="D24" i="8"/>
  <c r="D25" i="8"/>
  <c r="B167" i="2"/>
  <c r="C167" i="2"/>
  <c r="D167" i="2"/>
  <c r="G167" i="2" s="1"/>
  <c r="B168" i="2"/>
  <c r="C168" i="2"/>
  <c r="D168" i="2"/>
  <c r="G168" i="2" s="1"/>
  <c r="F149" i="2"/>
  <c r="G149" i="2"/>
  <c r="F150" i="2"/>
  <c r="G150" i="2"/>
  <c r="F105" i="2"/>
  <c r="G105" i="2"/>
  <c r="F106" i="2"/>
  <c r="G106" i="2"/>
  <c r="F83" i="2"/>
  <c r="G83" i="2"/>
  <c r="F84" i="2"/>
  <c r="G84" i="2"/>
  <c r="F61" i="2"/>
  <c r="G61" i="2"/>
  <c r="F62" i="2"/>
  <c r="G62" i="2"/>
  <c r="F39" i="2"/>
  <c r="G39" i="2"/>
  <c r="P39" i="2"/>
  <c r="F40" i="2"/>
  <c r="G40" i="2"/>
  <c r="P40" i="2"/>
  <c r="F17" i="2"/>
  <c r="G17" i="2"/>
  <c r="P17" i="2"/>
  <c r="J61" i="3" s="1"/>
  <c r="K61" i="3" s="1"/>
  <c r="F18" i="2"/>
  <c r="G18" i="2"/>
  <c r="P18" i="2"/>
  <c r="J62" i="3" s="1"/>
  <c r="K62" i="3" s="1"/>
  <c r="C41" i="6"/>
  <c r="D41" i="6"/>
  <c r="E41" i="6"/>
  <c r="C42" i="6"/>
  <c r="D42" i="6"/>
  <c r="E42" i="6"/>
  <c r="B41" i="6"/>
  <c r="B42" i="6"/>
  <c r="B39" i="6"/>
  <c r="B40" i="6"/>
  <c r="E118" i="3"/>
  <c r="I104" i="3"/>
  <c r="H104" i="3"/>
  <c r="H103" i="3"/>
  <c r="N61" i="3"/>
  <c r="I83" i="3"/>
  <c r="H83" i="3"/>
  <c r="E83" i="3"/>
  <c r="D83" i="3"/>
  <c r="I82" i="3"/>
  <c r="H82" i="3"/>
  <c r="N40" i="3"/>
  <c r="D82" i="3"/>
  <c r="K19" i="3"/>
  <c r="E117" i="3"/>
  <c r="D17" i="8"/>
  <c r="D18" i="8"/>
  <c r="D19" i="8"/>
  <c r="D20" i="8"/>
  <c r="F168" i="2" l="1"/>
  <c r="H168" i="2" s="1"/>
  <c r="G42" i="6"/>
  <c r="F42" i="6"/>
  <c r="H84" i="2"/>
  <c r="P61" i="2"/>
  <c r="J40" i="3"/>
  <c r="P62" i="2"/>
  <c r="J41" i="3"/>
  <c r="G41" i="6"/>
  <c r="F41" i="6"/>
  <c r="H149" i="2"/>
  <c r="H61" i="2"/>
  <c r="F167" i="2"/>
  <c r="H167" i="2" s="1"/>
  <c r="H17" i="2"/>
  <c r="H150" i="2"/>
  <c r="H105" i="2"/>
  <c r="O40" i="2"/>
  <c r="Q40" i="2" s="1"/>
  <c r="H106" i="2"/>
  <c r="H83" i="2"/>
  <c r="O18" i="2"/>
  <c r="H18" i="2"/>
  <c r="H40" i="2"/>
  <c r="H62" i="2"/>
  <c r="H39" i="2"/>
  <c r="O39" i="2"/>
  <c r="F40" i="3" s="1"/>
  <c r="F103" i="3" s="1"/>
  <c r="M103" i="3" s="1"/>
  <c r="O17" i="2"/>
  <c r="F61" i="3" s="1"/>
  <c r="G61" i="3" s="1"/>
  <c r="I103" i="3"/>
  <c r="E103" i="3"/>
  <c r="D104" i="3"/>
  <c r="E104" i="3"/>
  <c r="D103" i="3"/>
  <c r="N62" i="3"/>
  <c r="E82" i="3"/>
  <c r="M40" i="3"/>
  <c r="M61" i="3"/>
  <c r="M62" i="3"/>
  <c r="N41" i="3"/>
  <c r="M41" i="3"/>
  <c r="B166" i="2"/>
  <c r="C166" i="2"/>
  <c r="D166" i="2"/>
  <c r="G166" i="2" s="1"/>
  <c r="G148" i="2"/>
  <c r="F148" i="2"/>
  <c r="G126" i="2"/>
  <c r="F126" i="2"/>
  <c r="G104" i="2"/>
  <c r="F104" i="2"/>
  <c r="G82" i="2"/>
  <c r="F82" i="2"/>
  <c r="G60" i="2"/>
  <c r="F60" i="2"/>
  <c r="G38" i="2"/>
  <c r="F38" i="2"/>
  <c r="G16" i="2"/>
  <c r="F16" i="2"/>
  <c r="K16" i="2"/>
  <c r="L16" i="2"/>
  <c r="M16" i="2"/>
  <c r="P16" i="2" s="1"/>
  <c r="J60" i="3" s="1"/>
  <c r="K60" i="3" s="1"/>
  <c r="P38" i="2"/>
  <c r="J39" i="3" s="1"/>
  <c r="K39" i="3" s="1"/>
  <c r="E116" i="3"/>
  <c r="E40" i="6"/>
  <c r="D40" i="6"/>
  <c r="C40" i="6"/>
  <c r="E39" i="6"/>
  <c r="D39" i="6"/>
  <c r="C39" i="6"/>
  <c r="D59" i="3"/>
  <c r="E59" i="3"/>
  <c r="H59" i="3"/>
  <c r="H101" i="3" s="1"/>
  <c r="I59" i="3"/>
  <c r="D38" i="3"/>
  <c r="E38" i="3"/>
  <c r="H38" i="3"/>
  <c r="I38" i="3"/>
  <c r="B165" i="2"/>
  <c r="C165" i="2"/>
  <c r="D165" i="2"/>
  <c r="G165" i="2" s="1"/>
  <c r="G147" i="2"/>
  <c r="F147" i="2"/>
  <c r="G125" i="2"/>
  <c r="F125" i="2"/>
  <c r="G103" i="2"/>
  <c r="F103" i="2"/>
  <c r="G81" i="2"/>
  <c r="F81" i="2"/>
  <c r="G59" i="2"/>
  <c r="F59" i="2"/>
  <c r="K15" i="2"/>
  <c r="L15" i="2"/>
  <c r="M15" i="2"/>
  <c r="P15" i="2" s="1"/>
  <c r="J59" i="3" s="1"/>
  <c r="G37" i="2"/>
  <c r="F37" i="2"/>
  <c r="G15" i="2"/>
  <c r="F15" i="2"/>
  <c r="H104" i="2" l="1"/>
  <c r="H38" i="2"/>
  <c r="Q18" i="2"/>
  <c r="F62" i="3"/>
  <c r="K41" i="3"/>
  <c r="J83" i="3"/>
  <c r="O40" i="3"/>
  <c r="O61" i="3"/>
  <c r="O62" i="2"/>
  <c r="Q62" i="2" s="1"/>
  <c r="F41" i="3"/>
  <c r="K40" i="3"/>
  <c r="J82" i="3"/>
  <c r="F19" i="3"/>
  <c r="G40" i="3"/>
  <c r="F82" i="3"/>
  <c r="M82" i="3" s="1"/>
  <c r="J103" i="3"/>
  <c r="N103" i="3" s="1"/>
  <c r="O103" i="3" s="1"/>
  <c r="Q39" i="2"/>
  <c r="O61" i="2"/>
  <c r="Q61" i="2" s="1"/>
  <c r="Q17" i="2"/>
  <c r="F166" i="2"/>
  <c r="H166" i="2" s="1"/>
  <c r="H126" i="2"/>
  <c r="H37" i="2"/>
  <c r="H125" i="2"/>
  <c r="H60" i="2"/>
  <c r="H81" i="2"/>
  <c r="H148" i="2"/>
  <c r="H82" i="2"/>
  <c r="O15" i="2"/>
  <c r="F59" i="3" s="1"/>
  <c r="O59" i="3" s="1"/>
  <c r="H147" i="2"/>
  <c r="H16" i="2"/>
  <c r="G103" i="3"/>
  <c r="G40" i="6"/>
  <c r="E80" i="3"/>
  <c r="H102" i="3"/>
  <c r="E81" i="3"/>
  <c r="D80" i="3"/>
  <c r="D17" i="3"/>
  <c r="E17" i="3"/>
  <c r="K17" i="3" s="1"/>
  <c r="I81" i="3"/>
  <c r="O16" i="2"/>
  <c r="L60" i="2"/>
  <c r="K60" i="2"/>
  <c r="O38" i="2"/>
  <c r="F39" i="3" s="1"/>
  <c r="M60" i="2"/>
  <c r="P60" i="2"/>
  <c r="I102" i="3"/>
  <c r="H81" i="3"/>
  <c r="D81" i="3"/>
  <c r="E102" i="3"/>
  <c r="K18" i="3"/>
  <c r="D102" i="3"/>
  <c r="H15" i="2"/>
  <c r="H103" i="2"/>
  <c r="J81" i="3"/>
  <c r="N81" i="3" s="1"/>
  <c r="F165" i="2"/>
  <c r="H165" i="2" s="1"/>
  <c r="L59" i="2"/>
  <c r="H59" i="2"/>
  <c r="K59" i="3"/>
  <c r="F40" i="6"/>
  <c r="N59" i="3"/>
  <c r="M59" i="3"/>
  <c r="H80" i="3"/>
  <c r="I101" i="3"/>
  <c r="I80" i="3"/>
  <c r="G39" i="6"/>
  <c r="E101" i="3"/>
  <c r="D101" i="3"/>
  <c r="F39" i="6"/>
  <c r="N60" i="3"/>
  <c r="M60" i="3"/>
  <c r="M59" i="2"/>
  <c r="P37" i="2"/>
  <c r="O37" i="2"/>
  <c r="F38" i="3" s="1"/>
  <c r="G38" i="3" s="1"/>
  <c r="K59" i="2"/>
  <c r="N4" i="3"/>
  <c r="D16" i="8"/>
  <c r="E115" i="3"/>
  <c r="G82" i="3" l="1"/>
  <c r="G41" i="3"/>
  <c r="F20" i="3"/>
  <c r="F83" i="3"/>
  <c r="F104" i="3"/>
  <c r="O41" i="3"/>
  <c r="N83" i="3"/>
  <c r="K83" i="3"/>
  <c r="Q16" i="2"/>
  <c r="F60" i="3"/>
  <c r="G60" i="3" s="1"/>
  <c r="N82" i="3"/>
  <c r="O82" i="3" s="1"/>
  <c r="K82" i="3"/>
  <c r="G62" i="3"/>
  <c r="J104" i="3"/>
  <c r="O62" i="3"/>
  <c r="G39" i="3"/>
  <c r="K103" i="3"/>
  <c r="G19" i="3"/>
  <c r="O60" i="2"/>
  <c r="Q60" i="2" s="1"/>
  <c r="O59" i="2"/>
  <c r="G59" i="3"/>
  <c r="J101" i="3"/>
  <c r="N101" i="3" s="1"/>
  <c r="Q15" i="2"/>
  <c r="Q38" i="2"/>
  <c r="K81" i="3"/>
  <c r="F80" i="3"/>
  <c r="P59" i="2"/>
  <c r="J38" i="3"/>
  <c r="O38" i="3" s="1"/>
  <c r="Q37" i="2"/>
  <c r="N39" i="3"/>
  <c r="M39" i="3"/>
  <c r="N38" i="3"/>
  <c r="M38" i="3"/>
  <c r="F18" i="3" l="1"/>
  <c r="M104" i="3"/>
  <c r="G104" i="3"/>
  <c r="G18" i="3"/>
  <c r="M83" i="3"/>
  <c r="O83" i="3" s="1"/>
  <c r="G83" i="3"/>
  <c r="J102" i="3"/>
  <c r="N102" i="3" s="1"/>
  <c r="N104" i="3"/>
  <c r="K104" i="3"/>
  <c r="G20" i="3"/>
  <c r="K101" i="3"/>
  <c r="Q59" i="2"/>
  <c r="O60" i="3"/>
  <c r="F17" i="3"/>
  <c r="F81" i="3"/>
  <c r="M81" i="3" s="1"/>
  <c r="O81" i="3" s="1"/>
  <c r="O39" i="3"/>
  <c r="F102" i="3"/>
  <c r="M102" i="3" s="1"/>
  <c r="F101" i="3"/>
  <c r="J80" i="3"/>
  <c r="K38" i="3"/>
  <c r="G17" i="3" s="1"/>
  <c r="M80" i="3"/>
  <c r="G80" i="3"/>
  <c r="E109" i="3"/>
  <c r="E110" i="3"/>
  <c r="E111" i="3"/>
  <c r="E112" i="3"/>
  <c r="E113" i="3"/>
  <c r="E114" i="3"/>
  <c r="B15" i="6"/>
  <c r="C15" i="6"/>
  <c r="D15" i="6"/>
  <c r="E15" i="6"/>
  <c r="O102" i="3" l="1"/>
  <c r="K102" i="3"/>
  <c r="O104" i="3"/>
  <c r="G81" i="3"/>
  <c r="G102" i="3"/>
  <c r="M101" i="3"/>
  <c r="O101" i="3" s="1"/>
  <c r="G101" i="3"/>
  <c r="N80" i="3"/>
  <c r="O80" i="3" s="1"/>
  <c r="K80" i="3"/>
  <c r="D57" i="3"/>
  <c r="E57" i="3"/>
  <c r="H57" i="3"/>
  <c r="I57" i="3"/>
  <c r="D58" i="3"/>
  <c r="E58" i="3"/>
  <c r="H58" i="3"/>
  <c r="I58" i="3"/>
  <c r="D36" i="3"/>
  <c r="E36" i="3"/>
  <c r="H36" i="3"/>
  <c r="I36" i="3"/>
  <c r="D37" i="3"/>
  <c r="E37" i="3"/>
  <c r="H37" i="3"/>
  <c r="I37" i="3"/>
  <c r="G146" i="2"/>
  <c r="F146" i="2"/>
  <c r="G124" i="2"/>
  <c r="F124" i="2"/>
  <c r="G102" i="2"/>
  <c r="F102" i="2"/>
  <c r="B164" i="2"/>
  <c r="C164" i="2"/>
  <c r="D164" i="2"/>
  <c r="G164" i="2" s="1"/>
  <c r="G80" i="2"/>
  <c r="F80" i="2"/>
  <c r="G58" i="2"/>
  <c r="F58" i="2"/>
  <c r="P36" i="2"/>
  <c r="J37" i="3" s="1"/>
  <c r="G36" i="2"/>
  <c r="F36" i="2"/>
  <c r="K14" i="2"/>
  <c r="L14" i="2"/>
  <c r="M14" i="2"/>
  <c r="P14" i="2" s="1"/>
  <c r="J58" i="3" s="1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38" i="6"/>
  <c r="G38" i="6"/>
  <c r="H58" i="2" l="1"/>
  <c r="H6" i="2"/>
  <c r="H10" i="2"/>
  <c r="H5" i="2"/>
  <c r="H11" i="2"/>
  <c r="H124" i="2"/>
  <c r="H14" i="2"/>
  <c r="H80" i="2"/>
  <c r="J79" i="3"/>
  <c r="N79" i="3" s="1"/>
  <c r="D100" i="3"/>
  <c r="H100" i="3"/>
  <c r="D79" i="3"/>
  <c r="I78" i="3"/>
  <c r="H78" i="3"/>
  <c r="D15" i="3"/>
  <c r="I79" i="3"/>
  <c r="E100" i="3"/>
  <c r="E16" i="3"/>
  <c r="K16" i="3" s="1"/>
  <c r="K58" i="2"/>
  <c r="H102" i="2"/>
  <c r="H9" i="2"/>
  <c r="H146" i="2"/>
  <c r="E99" i="3"/>
  <c r="M36" i="3"/>
  <c r="D16" i="3"/>
  <c r="H8" i="2"/>
  <c r="M57" i="3"/>
  <c r="H13" i="2"/>
  <c r="E79" i="3"/>
  <c r="E78" i="3"/>
  <c r="I100" i="3"/>
  <c r="H99" i="3"/>
  <c r="E15" i="3"/>
  <c r="K15" i="3" s="1"/>
  <c r="H79" i="3"/>
  <c r="D99" i="3"/>
  <c r="D78" i="3"/>
  <c r="I99" i="3"/>
  <c r="K58" i="3"/>
  <c r="M58" i="3"/>
  <c r="K37" i="3"/>
  <c r="M37" i="3"/>
  <c r="N57" i="3"/>
  <c r="N58" i="3"/>
  <c r="N36" i="3"/>
  <c r="N37" i="3"/>
  <c r="P58" i="2"/>
  <c r="O14" i="2"/>
  <c r="L58" i="2"/>
  <c r="F164" i="2"/>
  <c r="H164" i="2" s="1"/>
  <c r="M58" i="2"/>
  <c r="O36" i="2"/>
  <c r="F37" i="3" s="1"/>
  <c r="G37" i="3" s="1"/>
  <c r="H12" i="2"/>
  <c r="H36" i="2"/>
  <c r="H4" i="2"/>
  <c r="H7" i="2"/>
  <c r="K79" i="3" l="1"/>
  <c r="F100" i="3"/>
  <c r="M100" i="3" s="1"/>
  <c r="Q14" i="2"/>
  <c r="F58" i="3"/>
  <c r="F16" i="3" s="1"/>
  <c r="O37" i="3"/>
  <c r="Q36" i="2"/>
  <c r="O58" i="2"/>
  <c r="Q58" i="2" s="1"/>
  <c r="G100" i="3" l="1"/>
  <c r="F79" i="3"/>
  <c r="M79" i="3" s="1"/>
  <c r="O79" i="3" s="1"/>
  <c r="J100" i="3"/>
  <c r="G58" i="3"/>
  <c r="O58" i="3"/>
  <c r="F37" i="6"/>
  <c r="G37" i="6"/>
  <c r="P35" i="2"/>
  <c r="K13" i="2"/>
  <c r="L13" i="2"/>
  <c r="M13" i="2"/>
  <c r="P13" i="2" s="1"/>
  <c r="J57" i="3" s="1"/>
  <c r="K57" i="3" s="1"/>
  <c r="B163" i="2"/>
  <c r="C163" i="2"/>
  <c r="D163" i="2"/>
  <c r="G163" i="2" s="1"/>
  <c r="F32" i="2"/>
  <c r="G32" i="2"/>
  <c r="F33" i="2"/>
  <c r="G33" i="2"/>
  <c r="F34" i="2"/>
  <c r="G34" i="2"/>
  <c r="F35" i="2"/>
  <c r="G35" i="2"/>
  <c r="G57" i="2"/>
  <c r="F57" i="2"/>
  <c r="G79" i="2"/>
  <c r="F79" i="2"/>
  <c r="G101" i="2"/>
  <c r="F101" i="2"/>
  <c r="F123" i="2"/>
  <c r="G123" i="2"/>
  <c r="F145" i="2"/>
  <c r="G145" i="2"/>
  <c r="H123" i="2" l="1"/>
  <c r="F163" i="2"/>
  <c r="H163" i="2" s="1"/>
  <c r="L57" i="2"/>
  <c r="H79" i="2"/>
  <c r="M57" i="2"/>
  <c r="H101" i="2"/>
  <c r="O35" i="2"/>
  <c r="F36" i="3" s="1"/>
  <c r="H33" i="2"/>
  <c r="G79" i="3"/>
  <c r="J36" i="3"/>
  <c r="P57" i="2"/>
  <c r="G36" i="3"/>
  <c r="K57" i="2"/>
  <c r="O13" i="2"/>
  <c r="H57" i="2"/>
  <c r="G16" i="3"/>
  <c r="H145" i="2"/>
  <c r="N100" i="3"/>
  <c r="O100" i="3" s="1"/>
  <c r="K100" i="3"/>
  <c r="H32" i="2"/>
  <c r="H35" i="2"/>
  <c r="H34" i="2"/>
  <c r="Q35" i="2"/>
  <c r="B14" i="6"/>
  <c r="D35" i="3" s="1"/>
  <c r="K36" i="3" l="1"/>
  <c r="J78" i="3"/>
  <c r="Q13" i="2"/>
  <c r="F57" i="3"/>
  <c r="O57" i="2"/>
  <c r="Q57" i="2" s="1"/>
  <c r="F99" i="3"/>
  <c r="O36" i="3"/>
  <c r="K78" i="3" l="1"/>
  <c r="N78" i="3"/>
  <c r="J99" i="3"/>
  <c r="G57" i="3"/>
  <c r="O57" i="3"/>
  <c r="F78" i="3"/>
  <c r="M99" i="3"/>
  <c r="G99" i="3"/>
  <c r="F15" i="3"/>
  <c r="F144" i="2"/>
  <c r="G144" i="2"/>
  <c r="F122" i="2"/>
  <c r="G122" i="2"/>
  <c r="F100" i="2"/>
  <c r="G100" i="2"/>
  <c r="F78" i="2"/>
  <c r="G78" i="2"/>
  <c r="F56" i="2"/>
  <c r="G56" i="2"/>
  <c r="H56" i="2" l="1"/>
  <c r="H122" i="2"/>
  <c r="H144" i="2"/>
  <c r="N99" i="3"/>
  <c r="O99" i="3" s="1"/>
  <c r="K99" i="3"/>
  <c r="M78" i="3"/>
  <c r="O78" i="3" s="1"/>
  <c r="G78" i="3"/>
  <c r="G15" i="3"/>
  <c r="H78" i="2"/>
  <c r="H100" i="2"/>
  <c r="P34" i="2"/>
  <c r="J35" i="3" s="1"/>
  <c r="K12" i="2"/>
  <c r="L12" i="2"/>
  <c r="M12" i="2"/>
  <c r="P12" i="2" s="1"/>
  <c r="J56" i="3" s="1"/>
  <c r="B162" i="2"/>
  <c r="C162" i="2"/>
  <c r="D162" i="2"/>
  <c r="G162" i="2" s="1"/>
  <c r="B36" i="6"/>
  <c r="C36" i="6"/>
  <c r="D36" i="6"/>
  <c r="E36" i="6"/>
  <c r="E35" i="3"/>
  <c r="H35" i="3"/>
  <c r="I35" i="3"/>
  <c r="D56" i="3"/>
  <c r="E56" i="3"/>
  <c r="H56" i="3"/>
  <c r="I56" i="3"/>
  <c r="D14" i="3" l="1"/>
  <c r="E14" i="3"/>
  <c r="K14" i="3" s="1"/>
  <c r="E98" i="3"/>
  <c r="I98" i="3"/>
  <c r="H98" i="3"/>
  <c r="D98" i="3"/>
  <c r="N56" i="3"/>
  <c r="G36" i="6"/>
  <c r="F36" i="6"/>
  <c r="M56" i="3"/>
  <c r="N35" i="3"/>
  <c r="M35" i="3"/>
  <c r="P56" i="2"/>
  <c r="M56" i="2"/>
  <c r="L56" i="2"/>
  <c r="O12" i="2"/>
  <c r="F162" i="2"/>
  <c r="H162" i="2" s="1"/>
  <c r="O34" i="2"/>
  <c r="K56" i="2"/>
  <c r="K35" i="3"/>
  <c r="J77" i="3"/>
  <c r="N77" i="3" s="1"/>
  <c r="K56" i="3"/>
  <c r="H77" i="3"/>
  <c r="I77" i="3"/>
  <c r="E77" i="3"/>
  <c r="D7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D48" i="3"/>
  <c r="E48" i="3"/>
  <c r="D49" i="3"/>
  <c r="E49" i="3"/>
  <c r="D50" i="3"/>
  <c r="E50" i="3"/>
  <c r="D51" i="3"/>
  <c r="E51" i="3"/>
  <c r="D52" i="3"/>
  <c r="E52" i="3"/>
  <c r="D53" i="3"/>
  <c r="E53" i="3"/>
  <c r="I47" i="3"/>
  <c r="H47" i="3"/>
  <c r="E47" i="3"/>
  <c r="D47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E12" i="3" s="1"/>
  <c r="H34" i="3"/>
  <c r="I34" i="3"/>
  <c r="I26" i="3"/>
  <c r="H26" i="3"/>
  <c r="D27" i="3"/>
  <c r="E27" i="3"/>
  <c r="D28" i="3"/>
  <c r="E28" i="3"/>
  <c r="D29" i="3"/>
  <c r="E29" i="3"/>
  <c r="D30" i="3"/>
  <c r="E30" i="3"/>
  <c r="D31" i="3"/>
  <c r="E31" i="3"/>
  <c r="D32" i="3"/>
  <c r="E32" i="3"/>
  <c r="E26" i="3"/>
  <c r="D26" i="3"/>
  <c r="B28" i="6"/>
  <c r="C28" i="6"/>
  <c r="D28" i="6"/>
  <c r="E28" i="6"/>
  <c r="B29" i="6"/>
  <c r="F29" i="6" s="1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G32" i="6" s="1"/>
  <c r="D32" i="6"/>
  <c r="E32" i="6"/>
  <c r="B33" i="6"/>
  <c r="C33" i="6"/>
  <c r="D33" i="6"/>
  <c r="E33" i="6"/>
  <c r="D34" i="6"/>
  <c r="E34" i="6"/>
  <c r="D35" i="6"/>
  <c r="E35" i="6"/>
  <c r="E27" i="6"/>
  <c r="D27" i="6"/>
  <c r="C27" i="6"/>
  <c r="B27" i="6"/>
  <c r="F30" i="6" l="1"/>
  <c r="F28" i="6"/>
  <c r="G28" i="6"/>
  <c r="G30" i="6"/>
  <c r="F33" i="6"/>
  <c r="F27" i="6"/>
  <c r="F31" i="6"/>
  <c r="F32" i="6"/>
  <c r="G27" i="6"/>
  <c r="G33" i="6"/>
  <c r="G31" i="6"/>
  <c r="G29" i="6"/>
  <c r="Q34" i="2"/>
  <c r="F35" i="3"/>
  <c r="Q12" i="2"/>
  <c r="F56" i="3"/>
  <c r="J98" i="3" s="1"/>
  <c r="O56" i="2"/>
  <c r="Q56" i="2" s="1"/>
  <c r="K77" i="3"/>
  <c r="B12" i="6"/>
  <c r="B13" i="6"/>
  <c r="K98" i="3" l="1"/>
  <c r="N98" i="3"/>
  <c r="F14" i="3"/>
  <c r="F98" i="3"/>
  <c r="O35" i="3"/>
  <c r="F77" i="3"/>
  <c r="G35" i="3"/>
  <c r="O56" i="3"/>
  <c r="G56" i="3"/>
  <c r="D34" i="3"/>
  <c r="D33" i="3"/>
  <c r="G13" i="6"/>
  <c r="E55" i="3" s="1"/>
  <c r="F13" i="6"/>
  <c r="D55" i="3" s="1"/>
  <c r="C13" i="6"/>
  <c r="G12" i="6"/>
  <c r="E54" i="3" s="1"/>
  <c r="F12" i="6"/>
  <c r="D54" i="3" s="1"/>
  <c r="C12" i="6"/>
  <c r="D13" i="3" l="1"/>
  <c r="G14" i="3"/>
  <c r="M98" i="3"/>
  <c r="O98" i="3" s="1"/>
  <c r="G98" i="3"/>
  <c r="B34" i="6"/>
  <c r="F34" i="6" s="1"/>
  <c r="M77" i="3"/>
  <c r="O77" i="3" s="1"/>
  <c r="G77" i="3"/>
  <c r="B35" i="6"/>
  <c r="F35" i="6" s="1"/>
  <c r="E34" i="3"/>
  <c r="C35" i="6"/>
  <c r="G35" i="6" s="1"/>
  <c r="E33" i="3"/>
  <c r="C34" i="6"/>
  <c r="G34" i="6" s="1"/>
  <c r="G25" i="2"/>
  <c r="G26" i="2"/>
  <c r="G27" i="2"/>
  <c r="G28" i="2"/>
  <c r="G29" i="2"/>
  <c r="G30" i="2"/>
  <c r="G31" i="2"/>
  <c r="G47" i="2"/>
  <c r="G48" i="2"/>
  <c r="G49" i="2"/>
  <c r="G50" i="2"/>
  <c r="G51" i="2"/>
  <c r="G52" i="2"/>
  <c r="G53" i="2"/>
  <c r="G54" i="2"/>
  <c r="G55" i="2"/>
  <c r="G69" i="2"/>
  <c r="G70" i="2"/>
  <c r="G71" i="2"/>
  <c r="G72" i="2"/>
  <c r="G73" i="2"/>
  <c r="G74" i="2"/>
  <c r="G75" i="2"/>
  <c r="G76" i="2"/>
  <c r="G77" i="2"/>
  <c r="G91" i="2"/>
  <c r="G92" i="2"/>
  <c r="G93" i="2"/>
  <c r="G94" i="2"/>
  <c r="G95" i="2"/>
  <c r="G96" i="2"/>
  <c r="G97" i="2"/>
  <c r="G98" i="2"/>
  <c r="G99" i="2"/>
  <c r="G113" i="2"/>
  <c r="G114" i="2"/>
  <c r="G115" i="2"/>
  <c r="G116" i="2"/>
  <c r="G117" i="2"/>
  <c r="G118" i="2"/>
  <c r="G119" i="2"/>
  <c r="G120" i="2"/>
  <c r="G121" i="2"/>
  <c r="G135" i="2"/>
  <c r="G136" i="2"/>
  <c r="G137" i="2"/>
  <c r="G138" i="2"/>
  <c r="G139" i="2"/>
  <c r="G140" i="2"/>
  <c r="G141" i="2"/>
  <c r="G142" i="2"/>
  <c r="G143" i="2"/>
  <c r="F25" i="2"/>
  <c r="F26" i="2"/>
  <c r="F27" i="2"/>
  <c r="F28" i="2"/>
  <c r="F29" i="2"/>
  <c r="F30" i="2"/>
  <c r="F31" i="2"/>
  <c r="F47" i="2"/>
  <c r="F48" i="2"/>
  <c r="F49" i="2"/>
  <c r="F50" i="2"/>
  <c r="F51" i="2"/>
  <c r="F52" i="2"/>
  <c r="F53" i="2"/>
  <c r="F54" i="2"/>
  <c r="F55" i="2"/>
  <c r="F69" i="2"/>
  <c r="F70" i="2"/>
  <c r="F71" i="2"/>
  <c r="F72" i="2"/>
  <c r="F73" i="2"/>
  <c r="F74" i="2"/>
  <c r="F75" i="2"/>
  <c r="F76" i="2"/>
  <c r="F77" i="2"/>
  <c r="F91" i="2"/>
  <c r="F92" i="2"/>
  <c r="F93" i="2"/>
  <c r="F94" i="2"/>
  <c r="F95" i="2"/>
  <c r="F96" i="2"/>
  <c r="F97" i="2"/>
  <c r="F98" i="2"/>
  <c r="F99" i="2"/>
  <c r="F113" i="2"/>
  <c r="F114" i="2"/>
  <c r="F115" i="2"/>
  <c r="F116" i="2"/>
  <c r="F117" i="2"/>
  <c r="F118" i="2"/>
  <c r="F119" i="2"/>
  <c r="F120" i="2"/>
  <c r="F121" i="2"/>
  <c r="F135" i="2"/>
  <c r="H135" i="2" s="1"/>
  <c r="F136" i="2"/>
  <c r="F137" i="2"/>
  <c r="F138" i="2"/>
  <c r="F139" i="2"/>
  <c r="F140" i="2"/>
  <c r="F141" i="2"/>
  <c r="F142" i="2"/>
  <c r="F143" i="2"/>
  <c r="F3" i="2"/>
  <c r="K26" i="2"/>
  <c r="L26" i="2"/>
  <c r="M26" i="2"/>
  <c r="P26" i="2" s="1"/>
  <c r="K27" i="2"/>
  <c r="L27" i="2"/>
  <c r="M27" i="2"/>
  <c r="P27" i="2" s="1"/>
  <c r="P28" i="2"/>
  <c r="P29" i="2"/>
  <c r="P30" i="2"/>
  <c r="P31" i="2"/>
  <c r="P32" i="2"/>
  <c r="P33" i="2"/>
  <c r="L25" i="2"/>
  <c r="M25" i="2"/>
  <c r="P25" i="2" s="1"/>
  <c r="O25" i="2"/>
  <c r="K4" i="2"/>
  <c r="L4" i="2"/>
  <c r="M4" i="2"/>
  <c r="P4" i="2" s="1"/>
  <c r="K5" i="2"/>
  <c r="L5" i="2"/>
  <c r="M5" i="2"/>
  <c r="P5" i="2" s="1"/>
  <c r="K6" i="2"/>
  <c r="L6" i="2"/>
  <c r="M6" i="2"/>
  <c r="P6" i="2" s="1"/>
  <c r="K7" i="2"/>
  <c r="L7" i="2"/>
  <c r="M7" i="2"/>
  <c r="P7" i="2" s="1"/>
  <c r="K8" i="2"/>
  <c r="L8" i="2"/>
  <c r="M8" i="2"/>
  <c r="P8" i="2" s="1"/>
  <c r="K9" i="2"/>
  <c r="L9" i="2"/>
  <c r="M9" i="2"/>
  <c r="P9" i="2" s="1"/>
  <c r="K10" i="2"/>
  <c r="L10" i="2"/>
  <c r="M10" i="2"/>
  <c r="P10" i="2" s="1"/>
  <c r="K11" i="2"/>
  <c r="L11" i="2"/>
  <c r="M11" i="2"/>
  <c r="P11" i="2" s="1"/>
  <c r="K3" i="2"/>
  <c r="H71" i="2" l="1"/>
  <c r="O30" i="2"/>
  <c r="Q30" i="2" s="1"/>
  <c r="H143" i="2"/>
  <c r="H142" i="2"/>
  <c r="H140" i="2"/>
  <c r="O6" i="2"/>
  <c r="Q6" i="2" s="1"/>
  <c r="O9" i="2"/>
  <c r="Q9" i="2" s="1"/>
  <c r="O32" i="2"/>
  <c r="H139" i="2"/>
  <c r="O10" i="2"/>
  <c r="Q10" i="2" s="1"/>
  <c r="H138" i="2"/>
  <c r="O4" i="2"/>
  <c r="Q4" i="2" s="1"/>
  <c r="H136" i="2"/>
  <c r="H25" i="2"/>
  <c r="H54" i="2"/>
  <c r="H96" i="2"/>
  <c r="O11" i="2"/>
  <c r="F55" i="3" s="1"/>
  <c r="O8" i="2"/>
  <c r="Q8" i="2" s="1"/>
  <c r="O31" i="2"/>
  <c r="Q31" i="2" s="1"/>
  <c r="O5" i="2"/>
  <c r="Q5" i="2" s="1"/>
  <c r="O7" i="2"/>
  <c r="Q7" i="2" s="1"/>
  <c r="O27" i="2"/>
  <c r="H118" i="2"/>
  <c r="H114" i="2"/>
  <c r="H76" i="2"/>
  <c r="H72" i="2"/>
  <c r="H30" i="2"/>
  <c r="H26" i="2"/>
  <c r="H119" i="2"/>
  <c r="H115" i="2"/>
  <c r="H98" i="2"/>
  <c r="H94" i="2"/>
  <c r="H77" i="2"/>
  <c r="H73" i="2"/>
  <c r="H69" i="2"/>
  <c r="H52" i="2"/>
  <c r="H48" i="2"/>
  <c r="H31" i="2"/>
  <c r="H27" i="2"/>
  <c r="P50" i="2"/>
  <c r="O28" i="2"/>
  <c r="Q28" i="2" s="1"/>
  <c r="H97" i="2"/>
  <c r="H93" i="2"/>
  <c r="H55" i="2"/>
  <c r="H51" i="2"/>
  <c r="H47" i="2"/>
  <c r="O54" i="2"/>
  <c r="P52" i="2"/>
  <c r="P48" i="2"/>
  <c r="O33" i="2"/>
  <c r="Q33" i="2" s="1"/>
  <c r="O29" i="2"/>
  <c r="Q29" i="2" s="1"/>
  <c r="H121" i="2"/>
  <c r="H117" i="2"/>
  <c r="H113" i="2"/>
  <c r="H92" i="2"/>
  <c r="H75" i="2"/>
  <c r="H50" i="2"/>
  <c r="H29" i="2"/>
  <c r="Q32" i="2"/>
  <c r="O26" i="2"/>
  <c r="Q26" i="2" s="1"/>
  <c r="H120" i="2"/>
  <c r="H116" i="2"/>
  <c r="H74" i="2"/>
  <c r="H70" i="2"/>
  <c r="H28" i="2"/>
  <c r="P53" i="2"/>
  <c r="P51" i="2"/>
  <c r="P49" i="2"/>
  <c r="P55" i="2"/>
  <c r="O53" i="2"/>
  <c r="Q25" i="2"/>
  <c r="P54" i="2"/>
  <c r="H141" i="2"/>
  <c r="H137" i="2"/>
  <c r="H99" i="2"/>
  <c r="H95" i="2"/>
  <c r="H91" i="2"/>
  <c r="H53" i="2"/>
  <c r="H49" i="2"/>
  <c r="I76" i="3"/>
  <c r="H76" i="3"/>
  <c r="E76" i="3"/>
  <c r="C161" i="2"/>
  <c r="B161" i="2"/>
  <c r="D161" i="2"/>
  <c r="G161" i="2" s="1"/>
  <c r="O49" i="2" l="1"/>
  <c r="Q49" i="2" s="1"/>
  <c r="O52" i="2"/>
  <c r="Q52" i="2" s="1"/>
  <c r="F161" i="2"/>
  <c r="H161" i="2" s="1"/>
  <c r="Q11" i="2"/>
  <c r="Q27" i="2"/>
  <c r="O55" i="2"/>
  <c r="Q55" i="2" s="1"/>
  <c r="Q54" i="2"/>
  <c r="O50" i="2"/>
  <c r="Q50" i="2" s="1"/>
  <c r="O48" i="2"/>
  <c r="Q48" i="2" s="1"/>
  <c r="O51" i="2"/>
  <c r="Q51" i="2" s="1"/>
  <c r="Q53" i="2"/>
  <c r="D97" i="3"/>
  <c r="I97" i="3"/>
  <c r="E97" i="3"/>
  <c r="D76" i="3"/>
  <c r="E13" i="3"/>
  <c r="K13" i="3" s="1"/>
  <c r="H97" i="3"/>
  <c r="M55" i="2"/>
  <c r="K55" i="2"/>
  <c r="L55" i="2"/>
  <c r="M34" i="3"/>
  <c r="G55" i="3"/>
  <c r="N55" i="3"/>
  <c r="M55" i="3"/>
  <c r="N34" i="3"/>
  <c r="J55" i="3"/>
  <c r="J97" i="3" s="1"/>
  <c r="J34" i="3"/>
  <c r="K34" i="3" s="1"/>
  <c r="K55" i="3" l="1"/>
  <c r="F34" i="3"/>
  <c r="J76" i="3"/>
  <c r="O55" i="3"/>
  <c r="N97" i="3"/>
  <c r="K97" i="3"/>
  <c r="C154" i="2"/>
  <c r="B154" i="2"/>
  <c r="D154" i="2"/>
  <c r="G154" i="2" s="1"/>
  <c r="C155" i="2"/>
  <c r="B155" i="2"/>
  <c r="D155" i="2"/>
  <c r="G155" i="2" s="1"/>
  <c r="C156" i="2"/>
  <c r="B156" i="2"/>
  <c r="D156" i="2"/>
  <c r="G156" i="2" s="1"/>
  <c r="C157" i="2"/>
  <c r="B157" i="2"/>
  <c r="D157" i="2"/>
  <c r="G157" i="2" s="1"/>
  <c r="C158" i="2"/>
  <c r="B158" i="2"/>
  <c r="D158" i="2"/>
  <c r="G158" i="2" s="1"/>
  <c r="C159" i="2"/>
  <c r="B159" i="2"/>
  <c r="D159" i="2"/>
  <c r="G159" i="2" s="1"/>
  <c r="C160" i="2"/>
  <c r="B160" i="2"/>
  <c r="D160" i="2"/>
  <c r="G160" i="2" s="1"/>
  <c r="B153" i="2"/>
  <c r="D153" i="2"/>
  <c r="G153" i="2" s="1"/>
  <c r="C153" i="2"/>
  <c r="J54" i="3"/>
  <c r="F155" i="2" l="1"/>
  <c r="H155" i="2" s="1"/>
  <c r="F156" i="2"/>
  <c r="H156" i="2" s="1"/>
  <c r="F159" i="2"/>
  <c r="H159" i="2" s="1"/>
  <c r="F160" i="2"/>
  <c r="H160" i="2" s="1"/>
  <c r="F153" i="2"/>
  <c r="H153" i="2" s="1"/>
  <c r="F158" i="2"/>
  <c r="H158" i="2" s="1"/>
  <c r="F154" i="2"/>
  <c r="H154" i="2" s="1"/>
  <c r="F157" i="2"/>
  <c r="H157" i="2" s="1"/>
  <c r="K76" i="3"/>
  <c r="N76" i="3"/>
  <c r="E75" i="3"/>
  <c r="H75" i="3"/>
  <c r="K53" i="2"/>
  <c r="L53" i="2"/>
  <c r="F97" i="3"/>
  <c r="O34" i="3"/>
  <c r="G34" i="3"/>
  <c r="F76" i="3"/>
  <c r="M53" i="2"/>
  <c r="F13" i="3"/>
  <c r="I75" i="3"/>
  <c r="D75" i="3"/>
  <c r="K54" i="3"/>
  <c r="I96" i="3"/>
  <c r="H96" i="3"/>
  <c r="M54" i="3"/>
  <c r="N54" i="3"/>
  <c r="M54" i="2"/>
  <c r="N33" i="3"/>
  <c r="E96" i="3"/>
  <c r="M33" i="3"/>
  <c r="D12" i="3"/>
  <c r="D96" i="3"/>
  <c r="K12" i="3"/>
  <c r="F54" i="3"/>
  <c r="L54" i="2"/>
  <c r="K54" i="2"/>
  <c r="I74" i="3"/>
  <c r="H74" i="3"/>
  <c r="D74" i="3"/>
  <c r="F53" i="3"/>
  <c r="G76" i="3" l="1"/>
  <c r="M76" i="3"/>
  <c r="O76" i="3" s="1"/>
  <c r="M97" i="3"/>
  <c r="O97" i="3" s="1"/>
  <c r="G97" i="3"/>
  <c r="G13" i="3"/>
  <c r="O54" i="3"/>
  <c r="J96" i="3"/>
  <c r="G54" i="3"/>
  <c r="F33" i="3"/>
  <c r="F75" i="3" s="1"/>
  <c r="G75" i="3" s="1"/>
  <c r="J33" i="3"/>
  <c r="J75" i="3" s="1"/>
  <c r="K75" i="3" s="1"/>
  <c r="J32" i="3"/>
  <c r="K32" i="3" s="1"/>
  <c r="M53" i="3"/>
  <c r="H95" i="3"/>
  <c r="E74" i="3"/>
  <c r="N32" i="3"/>
  <c r="E95" i="3"/>
  <c r="N53" i="3"/>
  <c r="I95" i="3"/>
  <c r="M32" i="3"/>
  <c r="D95" i="3"/>
  <c r="D11" i="3"/>
  <c r="G53" i="3"/>
  <c r="E11" i="3"/>
  <c r="K11" i="3" s="1"/>
  <c r="N96" i="3" l="1"/>
  <c r="K96" i="3"/>
  <c r="G33" i="3"/>
  <c r="F12" i="3"/>
  <c r="F96" i="3"/>
  <c r="O33" i="3"/>
  <c r="K33" i="3"/>
  <c r="J53" i="3"/>
  <c r="F32" i="3"/>
  <c r="M3" i="2"/>
  <c r="P3" i="2" s="1"/>
  <c r="P47" i="2" s="1"/>
  <c r="L3" i="2"/>
  <c r="O3" i="2" s="1"/>
  <c r="F48" i="3"/>
  <c r="J48" i="3"/>
  <c r="F49" i="3"/>
  <c r="F50" i="3"/>
  <c r="J50" i="3"/>
  <c r="J51" i="3"/>
  <c r="F52" i="3"/>
  <c r="J52" i="3"/>
  <c r="G3" i="2"/>
  <c r="Q3" i="2" l="1"/>
  <c r="O47" i="2"/>
  <c r="Q47" i="2" s="1"/>
  <c r="J28" i="3"/>
  <c r="K28" i="3" s="1"/>
  <c r="L51" i="2"/>
  <c r="M52" i="2"/>
  <c r="M50" i="2"/>
  <c r="M48" i="2"/>
  <c r="M75" i="3"/>
  <c r="M96" i="3"/>
  <c r="O96" i="3" s="1"/>
  <c r="G96" i="3"/>
  <c r="G12" i="3"/>
  <c r="N75" i="3"/>
  <c r="H68" i="3"/>
  <c r="H72" i="3"/>
  <c r="I71" i="3"/>
  <c r="L50" i="2"/>
  <c r="K52" i="2"/>
  <c r="K50" i="2"/>
  <c r="L47" i="2"/>
  <c r="M51" i="2"/>
  <c r="O52" i="3"/>
  <c r="J94" i="3"/>
  <c r="M27" i="3"/>
  <c r="D90" i="3"/>
  <c r="N27" i="3"/>
  <c r="E90" i="3"/>
  <c r="D70" i="3"/>
  <c r="M28" i="3"/>
  <c r="D91" i="3"/>
  <c r="M47" i="3"/>
  <c r="H89" i="3"/>
  <c r="M51" i="3"/>
  <c r="H93" i="3"/>
  <c r="N28" i="3"/>
  <c r="E91" i="3"/>
  <c r="N52" i="3"/>
  <c r="I94" i="3"/>
  <c r="N48" i="3"/>
  <c r="I90" i="3"/>
  <c r="O48" i="3"/>
  <c r="J90" i="3"/>
  <c r="M50" i="3"/>
  <c r="H92" i="3"/>
  <c r="N49" i="3"/>
  <c r="I91" i="3"/>
  <c r="F26" i="3"/>
  <c r="G26" i="3" s="1"/>
  <c r="K51" i="2"/>
  <c r="K49" i="2"/>
  <c r="K47" i="2"/>
  <c r="M29" i="3"/>
  <c r="D92" i="3"/>
  <c r="M48" i="3"/>
  <c r="H90" i="3"/>
  <c r="M52" i="3"/>
  <c r="H94" i="3"/>
  <c r="E71" i="3"/>
  <c r="N29" i="3"/>
  <c r="E92" i="3"/>
  <c r="N51" i="3"/>
  <c r="I93" i="3"/>
  <c r="N47" i="3"/>
  <c r="I89" i="3"/>
  <c r="O50" i="3"/>
  <c r="J92" i="3"/>
  <c r="M31" i="3"/>
  <c r="D94" i="3"/>
  <c r="N31" i="3"/>
  <c r="E94" i="3"/>
  <c r="M26" i="3"/>
  <c r="D89" i="3"/>
  <c r="M30" i="3"/>
  <c r="D93" i="3"/>
  <c r="M49" i="3"/>
  <c r="H91" i="3"/>
  <c r="N26" i="3"/>
  <c r="E89" i="3"/>
  <c r="N30" i="3"/>
  <c r="E93" i="3"/>
  <c r="N50" i="3"/>
  <c r="I92" i="3"/>
  <c r="F74" i="3"/>
  <c r="O32" i="3"/>
  <c r="F95" i="3"/>
  <c r="G95" i="3" s="1"/>
  <c r="O53" i="3"/>
  <c r="K53" i="3"/>
  <c r="J95" i="3"/>
  <c r="N95" i="3" s="1"/>
  <c r="J74" i="3"/>
  <c r="D69" i="3"/>
  <c r="D73" i="3"/>
  <c r="E69" i="3"/>
  <c r="E73" i="3"/>
  <c r="H71" i="3"/>
  <c r="I72" i="3"/>
  <c r="I68" i="3"/>
  <c r="E70" i="3"/>
  <c r="D71" i="3"/>
  <c r="H69" i="3"/>
  <c r="H73" i="3"/>
  <c r="I70" i="3"/>
  <c r="D68" i="3"/>
  <c r="D72" i="3"/>
  <c r="E68" i="3"/>
  <c r="E72" i="3"/>
  <c r="H70" i="3"/>
  <c r="I73" i="3"/>
  <c r="I69" i="3"/>
  <c r="F11" i="3"/>
  <c r="G32" i="3"/>
  <c r="G49" i="3"/>
  <c r="F30" i="3"/>
  <c r="J31" i="3"/>
  <c r="J29" i="3"/>
  <c r="J27" i="3"/>
  <c r="F31" i="3"/>
  <c r="F29" i="3"/>
  <c r="F27" i="3"/>
  <c r="J30" i="3"/>
  <c r="J26" i="3"/>
  <c r="F28" i="3"/>
  <c r="L52" i="2"/>
  <c r="L48" i="2"/>
  <c r="M49" i="2"/>
  <c r="M47" i="2"/>
  <c r="L49" i="2"/>
  <c r="K48" i="2"/>
  <c r="J49" i="3"/>
  <c r="J91" i="3" s="1"/>
  <c r="F47" i="3"/>
  <c r="K50" i="3"/>
  <c r="G50" i="3"/>
  <c r="D10" i="3"/>
  <c r="E7" i="3"/>
  <c r="K7" i="3" s="1"/>
  <c r="K52" i="3"/>
  <c r="K48" i="3"/>
  <c r="K51" i="3"/>
  <c r="E9" i="3"/>
  <c r="K9" i="3" s="1"/>
  <c r="E10" i="3"/>
  <c r="K10" i="3" s="1"/>
  <c r="G52" i="3"/>
  <c r="G48" i="3"/>
  <c r="E8" i="3"/>
  <c r="K8" i="3" s="1"/>
  <c r="E6" i="3"/>
  <c r="K6" i="3" s="1"/>
  <c r="E5" i="3"/>
  <c r="K5" i="3" s="1"/>
  <c r="D9" i="3"/>
  <c r="D7" i="3"/>
  <c r="D8" i="3"/>
  <c r="D6" i="3"/>
  <c r="O75" i="3" l="1"/>
  <c r="K95" i="3"/>
  <c r="M95" i="3"/>
  <c r="O95" i="3" s="1"/>
  <c r="O28" i="3"/>
  <c r="F91" i="3"/>
  <c r="O27" i="3"/>
  <c r="F90" i="3"/>
  <c r="O30" i="3"/>
  <c r="F93" i="3"/>
  <c r="O49" i="3"/>
  <c r="O29" i="3"/>
  <c r="F92" i="3"/>
  <c r="G92" i="3" s="1"/>
  <c r="M74" i="3"/>
  <c r="N74" i="3"/>
  <c r="K74" i="3"/>
  <c r="O31" i="3"/>
  <c r="F94" i="3"/>
  <c r="G94" i="3" s="1"/>
  <c r="G74" i="3"/>
  <c r="O26" i="3"/>
  <c r="F89" i="3"/>
  <c r="M89" i="3" s="1"/>
  <c r="K90" i="3"/>
  <c r="F68" i="3"/>
  <c r="M68" i="3" s="1"/>
  <c r="J70" i="3"/>
  <c r="N70" i="3" s="1"/>
  <c r="G29" i="3"/>
  <c r="F71" i="3"/>
  <c r="K27" i="3"/>
  <c r="J69" i="3"/>
  <c r="N90" i="3" s="1"/>
  <c r="K26" i="3"/>
  <c r="G31" i="3"/>
  <c r="F73" i="3"/>
  <c r="K29" i="3"/>
  <c r="J71" i="3"/>
  <c r="N92" i="3" s="1"/>
  <c r="K30" i="3"/>
  <c r="J72" i="3"/>
  <c r="K31" i="3"/>
  <c r="J73" i="3"/>
  <c r="K73" i="3" s="1"/>
  <c r="G28" i="3"/>
  <c r="F70" i="3"/>
  <c r="G27" i="3"/>
  <c r="F69" i="3"/>
  <c r="G30" i="3"/>
  <c r="F7" i="3"/>
  <c r="G11" i="3"/>
  <c r="F6" i="3"/>
  <c r="F10" i="3"/>
  <c r="F8" i="3"/>
  <c r="K49" i="3"/>
  <c r="J47" i="3"/>
  <c r="O47" i="3" s="1"/>
  <c r="G47" i="3"/>
  <c r="F51" i="3"/>
  <c r="M94" i="3" l="1"/>
  <c r="M92" i="3"/>
  <c r="O92" i="3" s="1"/>
  <c r="M91" i="3"/>
  <c r="G8" i="3"/>
  <c r="J89" i="3"/>
  <c r="O51" i="3"/>
  <c r="J93" i="3"/>
  <c r="K93" i="3" s="1"/>
  <c r="G6" i="3"/>
  <c r="O74" i="3"/>
  <c r="M90" i="3"/>
  <c r="O90" i="3" s="1"/>
  <c r="G68" i="3"/>
  <c r="K47" i="3"/>
  <c r="F72" i="3"/>
  <c r="G91" i="3"/>
  <c r="G89" i="3"/>
  <c r="K92" i="3"/>
  <c r="G10" i="3"/>
  <c r="N73" i="3"/>
  <c r="K70" i="3"/>
  <c r="G90" i="3"/>
  <c r="G70" i="3"/>
  <c r="M70" i="3"/>
  <c r="O70" i="3" s="1"/>
  <c r="N72" i="3"/>
  <c r="K72" i="3"/>
  <c r="K71" i="3"/>
  <c r="N71" i="3"/>
  <c r="J68" i="3"/>
  <c r="M71" i="3"/>
  <c r="G71" i="3"/>
  <c r="M69" i="3"/>
  <c r="G69" i="3"/>
  <c r="M73" i="3"/>
  <c r="G73" i="3"/>
  <c r="K69" i="3"/>
  <c r="N69" i="3"/>
  <c r="G7" i="3"/>
  <c r="F9" i="3"/>
  <c r="G51" i="3"/>
  <c r="F5" i="3"/>
  <c r="G5" i="3" l="1"/>
  <c r="N93" i="3"/>
  <c r="O73" i="3"/>
  <c r="N89" i="3"/>
  <c r="O89" i="3" s="1"/>
  <c r="K89" i="3"/>
  <c r="M93" i="3"/>
  <c r="G93" i="3"/>
  <c r="M72" i="3"/>
  <c r="O72" i="3" s="1"/>
  <c r="N94" i="3"/>
  <c r="O94" i="3" s="1"/>
  <c r="K94" i="3"/>
  <c r="G72" i="3"/>
  <c r="N91" i="3"/>
  <c r="O91" i="3" s="1"/>
  <c r="K91" i="3"/>
  <c r="N68" i="3"/>
  <c r="O68" i="3" s="1"/>
  <c r="K68" i="3"/>
  <c r="O69" i="3"/>
  <c r="O71" i="3"/>
  <c r="G9" i="3"/>
  <c r="O93" i="3" l="1"/>
</calcChain>
</file>

<file path=xl/sharedStrings.xml><?xml version="1.0" encoding="utf-8"?>
<sst xmlns="http://schemas.openxmlformats.org/spreadsheetml/2006/main" count="192" uniqueCount="70">
  <si>
    <t>Year</t>
  </si>
  <si>
    <t>Ind</t>
  </si>
  <si>
    <t>Mun</t>
  </si>
  <si>
    <t>M&amp;I</t>
  </si>
  <si>
    <t>Irr</t>
  </si>
  <si>
    <t>TOTAL</t>
  </si>
  <si>
    <t>Medina</t>
  </si>
  <si>
    <t>Bexar</t>
  </si>
  <si>
    <t>Comal</t>
  </si>
  <si>
    <t>Hays</t>
  </si>
  <si>
    <t>Guadalupe</t>
  </si>
  <si>
    <t>Atascosa</t>
  </si>
  <si>
    <t>Pumped</t>
  </si>
  <si>
    <t>GRAND TOTAL</t>
  </si>
  <si>
    <t>Uvalde</t>
  </si>
  <si>
    <t>UVALDE POOL</t>
  </si>
  <si>
    <t>SAN ANTONIO POOL</t>
  </si>
  <si>
    <t>Permitted</t>
  </si>
  <si>
    <t>Municipal &amp; Industrial</t>
  </si>
  <si>
    <t>Irrigation</t>
  </si>
  <si>
    <t>Un-Pumped</t>
  </si>
  <si>
    <t>CPM</t>
  </si>
  <si>
    <t>SA / UV</t>
  </si>
  <si>
    <t>1.64% / 0%</t>
  </si>
  <si>
    <t>11.8% / 0%</t>
  </si>
  <si>
    <t>0% / 0%</t>
  </si>
  <si>
    <t>19.2% / 2.60%</t>
  </si>
  <si>
    <t>22.4% / 17.40%</t>
  </si>
  <si>
    <t>28.9% / 41.80%</t>
  </si>
  <si>
    <t>35.0% / 44.0%</t>
  </si>
  <si>
    <t>After CPM</t>
  </si>
  <si>
    <t>San Antonio Pool</t>
  </si>
  <si>
    <t>Uvalde Pool</t>
  </si>
  <si>
    <t>19.7% / 20.4%</t>
  </si>
  <si>
    <t>ALL</t>
  </si>
  <si>
    <t>M&amp;I Permitted</t>
  </si>
  <si>
    <t>M&amp;I CPM Authorized</t>
  </si>
  <si>
    <t>Irrigation Permitted</t>
  </si>
  <si>
    <t>Irrigation CPM Authorized</t>
  </si>
  <si>
    <t>TOTALS</t>
  </si>
  <si>
    <t>Authorized</t>
  </si>
  <si>
    <t>SAN ANTONIO POOL - Authorization and Pumping Summary</t>
  </si>
  <si>
    <t>UVALDE POOL - Authorization and Pumping Summary</t>
  </si>
  <si>
    <t>ALL PERMITS - Authorization and Pumping Summary</t>
  </si>
  <si>
    <t>All Permits</t>
  </si>
  <si>
    <t>Total Annual</t>
  </si>
  <si>
    <t>Recharge</t>
  </si>
  <si>
    <t>Registered LPWs</t>
  </si>
  <si>
    <t>3.2% / 0%</t>
  </si>
  <si>
    <t>8.7% / 0%</t>
  </si>
  <si>
    <t>Avg Use
(AF)</t>
  </si>
  <si>
    <t>Total Use
(AF)</t>
  </si>
  <si>
    <t>Overpump</t>
  </si>
  <si>
    <t>External Data</t>
  </si>
  <si>
    <t>Limited Production Wells</t>
  </si>
  <si>
    <t>Edwards Aquifer TEN-YEAR Rolling Recharge Average</t>
  </si>
  <si>
    <t>Calculator</t>
  </si>
  <si>
    <t>Recharge (AF)</t>
  </si>
  <si>
    <t>DOR if Ten-Year Average is less than 500,000 (AF).</t>
  </si>
  <si>
    <t>Drought of Record Forbearance Period (DORFP)</t>
  </si>
  <si>
    <t>During a DOR, the 10-day average of J-17 is less than 630 feet (msl).</t>
  </si>
  <si>
    <t>6.3% / 0%</t>
  </si>
  <si>
    <t>ACTUAL :</t>
  </si>
  <si>
    <t>CAP :</t>
  </si>
  <si>
    <t>RESIDUAL :</t>
  </si>
  <si>
    <t>Ten-Year Average</t>
  </si>
  <si>
    <t xml:space="preserve">  : Current</t>
  </si>
  <si>
    <t>5.71% / 0%</t>
  </si>
  <si>
    <t>26.7% / 4.5%</t>
  </si>
  <si>
    <t>35.8% / 17.3%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</si>
</sst>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0.0%"/>
    <numFmt numFmtId="167" formatCode="0.000"/>
    <numFmt numFmtId="168" formatCode="#,##0.000_);\(#,##0.000\)"/>
    <numFmt numFmtId="169" formatCode="_(* #,##0.000_);_(* \(#,##0.000\);_(* &quot;-&quot;??_);_(@_)"/>
    <numFmt numFmtId="170" formatCode="0.00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5" fillId="6" borderId="0" applyNumberFormat="0" applyBorder="0" applyAlignment="0" applyProtection="0"/>
    <xf numFmtId="9" fontId="2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/>
    <xf numFmtId="165" fontId="0" fillId="0" borderId="0" xfId="1" applyNumberFormat="1" applyFont="1"/>
    <xf numFmtId="3" fontId="0" fillId="0" borderId="4" xfId="0" applyNumberFormat="1" applyBorder="1"/>
    <xf numFmtId="165" fontId="0" fillId="0" borderId="5" xfId="1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165" fontId="0" fillId="0" borderId="0" xfId="1" applyNumberFormat="1" applyFont="1" applyBorder="1"/>
    <xf numFmtId="0" fontId="1" fillId="0" borderId="0" xfId="0" applyFont="1"/>
    <xf numFmtId="0" fontId="1" fillId="0" borderId="11" xfId="0" applyFont="1" applyBorder="1"/>
    <xf numFmtId="0" fontId="0" fillId="0" borderId="12" xfId="0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" fontId="0" fillId="0" borderId="0" xfId="0" applyNumberFormat="1"/>
    <xf numFmtId="0" fontId="1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1" fillId="0" borderId="24" xfId="0" applyFont="1" applyBorder="1" applyAlignment="1">
      <alignment horizontal="center" wrapText="1"/>
    </xf>
    <xf numFmtId="0" fontId="1" fillId="4" borderId="25" xfId="0" applyFont="1" applyFill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4" borderId="26" xfId="0" applyFont="1" applyFill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0" fillId="4" borderId="0" xfId="0" applyFill="1"/>
    <xf numFmtId="0" fontId="5" fillId="0" borderId="0" xfId="0" applyFont="1"/>
    <xf numFmtId="0" fontId="7" fillId="0" borderId="0" xfId="0" applyFont="1"/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166" fontId="10" fillId="3" borderId="27" xfId="0" applyNumberFormat="1" applyFont="1" applyFill="1" applyBorder="1" applyAlignment="1">
      <alignment horizontal="center" vertical="center"/>
    </xf>
    <xf numFmtId="3" fontId="10" fillId="3" borderId="14" xfId="0" applyNumberFormat="1" applyFont="1" applyFill="1" applyBorder="1" applyAlignment="1">
      <alignment horizontal="center" vertical="center"/>
    </xf>
    <xf numFmtId="3" fontId="10" fillId="3" borderId="15" xfId="0" applyNumberFormat="1" applyFont="1" applyFill="1" applyBorder="1" applyAlignment="1">
      <alignment horizontal="center" vertical="center"/>
    </xf>
    <xf numFmtId="3" fontId="10" fillId="3" borderId="16" xfId="0" applyNumberFormat="1" applyFont="1" applyFill="1" applyBorder="1" applyAlignment="1">
      <alignment horizontal="center" vertical="center"/>
    </xf>
    <xf numFmtId="3" fontId="10" fillId="3" borderId="22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0" fillId="3" borderId="28" xfId="0" applyFont="1" applyFill="1" applyBorder="1" applyAlignment="1">
      <alignment horizontal="center" vertical="center"/>
    </xf>
    <xf numFmtId="166" fontId="10" fillId="3" borderId="28" xfId="0" applyNumberFormat="1" applyFont="1" applyFill="1" applyBorder="1" applyAlignment="1">
      <alignment horizontal="center" vertical="center"/>
    </xf>
    <xf numFmtId="3" fontId="10" fillId="3" borderId="17" xfId="0" applyNumberFormat="1" applyFont="1" applyFill="1" applyBorder="1" applyAlignment="1">
      <alignment horizontal="center" vertical="center"/>
    </xf>
    <xf numFmtId="3" fontId="10" fillId="3" borderId="18" xfId="0" applyNumberFormat="1" applyFont="1" applyFill="1" applyBorder="1" applyAlignment="1">
      <alignment horizontal="center" vertical="center"/>
    </xf>
    <xf numFmtId="3" fontId="10" fillId="3" borderId="19" xfId="0" applyNumberFormat="1" applyFont="1" applyFill="1" applyBorder="1" applyAlignment="1">
      <alignment horizontal="center" vertical="center"/>
    </xf>
    <xf numFmtId="3" fontId="10" fillId="3" borderId="23" xfId="0" applyNumberFormat="1" applyFont="1" applyFill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/>
    </xf>
    <xf numFmtId="0" fontId="10" fillId="3" borderId="30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3" fontId="10" fillId="3" borderId="32" xfId="0" applyNumberFormat="1" applyFont="1" applyFill="1" applyBorder="1" applyAlignment="1">
      <alignment horizontal="center" vertical="center"/>
    </xf>
    <xf numFmtId="3" fontId="10" fillId="3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/>
    <xf numFmtId="10" fontId="11" fillId="3" borderId="27" xfId="0" applyNumberFormat="1" applyFont="1" applyFill="1" applyBorder="1" applyAlignment="1">
      <alignment horizontal="center" vertical="center"/>
    </xf>
    <xf numFmtId="10" fontId="11" fillId="3" borderId="28" xfId="0" applyNumberFormat="1" applyFont="1" applyFill="1" applyBorder="1" applyAlignment="1">
      <alignment horizontal="center" vertical="center"/>
    </xf>
    <xf numFmtId="9" fontId="11" fillId="3" borderId="28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0" borderId="0" xfId="0" applyFont="1" applyAlignment="1">
      <alignment horizontal="center"/>
    </xf>
    <xf numFmtId="3" fontId="10" fillId="4" borderId="18" xfId="0" applyNumberFormat="1" applyFont="1" applyFill="1" applyBorder="1" applyAlignment="1">
      <alignment horizontal="center" vertical="center"/>
    </xf>
    <xf numFmtId="3" fontId="10" fillId="4" borderId="19" xfId="0" applyNumberFormat="1" applyFont="1" applyFill="1" applyBorder="1" applyAlignment="1">
      <alignment horizontal="center" vertical="center"/>
    </xf>
    <xf numFmtId="3" fontId="10" fillId="4" borderId="17" xfId="0" applyNumberFormat="1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10" fontId="11" fillId="4" borderId="28" xfId="0" applyNumberFormat="1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/>
    </xf>
    <xf numFmtId="167" fontId="14" fillId="0" borderId="15" xfId="0" applyNumberFormat="1" applyFont="1" applyBorder="1" applyAlignment="1">
      <alignment horizontal="center"/>
    </xf>
    <xf numFmtId="167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167" fontId="14" fillId="0" borderId="18" xfId="0" applyNumberFormat="1" applyFont="1" applyBorder="1" applyAlignment="1">
      <alignment horizontal="center"/>
    </xf>
    <xf numFmtId="167" fontId="14" fillId="0" borderId="19" xfId="0" applyNumberFormat="1" applyFont="1" applyBorder="1" applyAlignment="1">
      <alignment horizontal="center"/>
    </xf>
    <xf numFmtId="3" fontId="15" fillId="0" borderId="0" xfId="2" applyNumberFormat="1" applyFill="1" applyBorder="1"/>
    <xf numFmtId="164" fontId="0" fillId="0" borderId="0" xfId="0" applyNumberFormat="1"/>
    <xf numFmtId="168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9" fontId="11" fillId="4" borderId="28" xfId="0" applyNumberFormat="1" applyFont="1" applyFill="1" applyBorder="1" applyAlignment="1">
      <alignment horizontal="center" vertical="center"/>
    </xf>
    <xf numFmtId="168" fontId="0" fillId="4" borderId="0" xfId="0" applyNumberFormat="1" applyFill="1" applyAlignment="1">
      <alignment horizontal="center"/>
    </xf>
    <xf numFmtId="168" fontId="0" fillId="4" borderId="0" xfId="1" applyNumberFormat="1" applyFont="1" applyFill="1" applyAlignment="1">
      <alignment horizontal="center"/>
    </xf>
    <xf numFmtId="1" fontId="14" fillId="0" borderId="15" xfId="0" applyNumberFormat="1" applyFont="1" applyBorder="1" applyAlignment="1">
      <alignment horizontal="center"/>
    </xf>
    <xf numFmtId="1" fontId="14" fillId="0" borderId="18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3" fontId="11" fillId="4" borderId="18" xfId="0" applyNumberFormat="1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 vertical="center"/>
    </xf>
    <xf numFmtId="166" fontId="10" fillId="4" borderId="28" xfId="0" applyNumberFormat="1" applyFont="1" applyFill="1" applyBorder="1" applyAlignment="1">
      <alignment horizontal="center" vertical="center"/>
    </xf>
    <xf numFmtId="3" fontId="10" fillId="4" borderId="23" xfId="0" applyNumberFormat="1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/>
    </xf>
    <xf numFmtId="1" fontId="14" fillId="4" borderId="18" xfId="0" applyNumberFormat="1" applyFont="1" applyFill="1" applyBorder="1" applyAlignment="1">
      <alignment horizontal="center"/>
    </xf>
    <xf numFmtId="167" fontId="14" fillId="4" borderId="18" xfId="0" applyNumberFormat="1" applyFont="1" applyFill="1" applyBorder="1" applyAlignment="1">
      <alignment horizontal="center"/>
    </xf>
    <xf numFmtId="167" fontId="14" fillId="4" borderId="19" xfId="0" applyNumberFormat="1" applyFont="1" applyFill="1" applyBorder="1" applyAlignment="1">
      <alignment horizontal="center"/>
    </xf>
    <xf numFmtId="1" fontId="5" fillId="4" borderId="18" xfId="0" applyNumberFormat="1" applyFont="1" applyFill="1" applyBorder="1" applyAlignment="1">
      <alignment horizontal="center"/>
    </xf>
    <xf numFmtId="167" fontId="5" fillId="4" borderId="18" xfId="0" applyNumberFormat="1" applyFont="1" applyFill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3" fontId="11" fillId="4" borderId="17" xfId="0" applyNumberFormat="1" applyFont="1" applyFill="1" applyBorder="1" applyAlignment="1">
      <alignment horizontal="center"/>
    </xf>
    <xf numFmtId="3" fontId="11" fillId="4" borderId="19" xfId="0" applyNumberFormat="1" applyFont="1" applyFill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3" fontId="11" fillId="0" borderId="19" xfId="0" applyNumberFormat="1" applyFont="1" applyBorder="1" applyAlignment="1">
      <alignment horizontal="center"/>
    </xf>
    <xf numFmtId="3" fontId="11" fillId="4" borderId="29" xfId="0" applyNumberFormat="1" applyFont="1" applyFill="1" applyBorder="1" applyAlignment="1">
      <alignment horizontal="center"/>
    </xf>
    <xf numFmtId="3" fontId="11" fillId="4" borderId="20" xfId="0" applyNumberFormat="1" applyFont="1" applyFill="1" applyBorder="1" applyAlignment="1">
      <alignment horizontal="center"/>
    </xf>
    <xf numFmtId="3" fontId="11" fillId="4" borderId="2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3" fontId="5" fillId="0" borderId="0" xfId="0" applyNumberFormat="1" applyFont="1"/>
    <xf numFmtId="0" fontId="16" fillId="0" borderId="0" xfId="0" applyFont="1"/>
    <xf numFmtId="0" fontId="17" fillId="0" borderId="0" xfId="0" applyFont="1"/>
    <xf numFmtId="0" fontId="12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3" fontId="19" fillId="0" borderId="0" xfId="0" applyNumberFormat="1" applyFont="1"/>
    <xf numFmtId="0" fontId="12" fillId="0" borderId="0" xfId="0" applyFont="1" applyAlignment="1">
      <alignment horizontal="center"/>
    </xf>
    <xf numFmtId="165" fontId="20" fillId="0" borderId="0" xfId="1" applyNumberFormat="1" applyFont="1"/>
    <xf numFmtId="165" fontId="20" fillId="0" borderId="0" xfId="0" applyNumberFormat="1" applyFont="1"/>
    <xf numFmtId="0" fontId="10" fillId="3" borderId="31" xfId="0" applyFont="1" applyFill="1" applyBorder="1" applyAlignment="1">
      <alignment horizontal="center" vertical="center"/>
    </xf>
    <xf numFmtId="9" fontId="11" fillId="3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/>
    </xf>
    <xf numFmtId="3" fontId="11" fillId="0" borderId="36" xfId="0" applyNumberFormat="1" applyFont="1" applyBorder="1" applyAlignment="1">
      <alignment horizontal="center"/>
    </xf>
    <xf numFmtId="3" fontId="11" fillId="0" borderId="32" xfId="0" applyNumberFormat="1" applyFont="1" applyBorder="1" applyAlignment="1">
      <alignment horizontal="center"/>
    </xf>
    <xf numFmtId="3" fontId="11" fillId="0" borderId="33" xfId="0" applyNumberFormat="1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19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1" applyNumberFormat="1" applyFont="1"/>
    <xf numFmtId="0" fontId="1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3" fontId="12" fillId="0" borderId="0" xfId="1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3" fontId="12" fillId="8" borderId="0" xfId="1" applyNumberFormat="1" applyFont="1" applyFill="1" applyAlignment="1">
      <alignment horizontal="center"/>
    </xf>
    <xf numFmtId="3" fontId="12" fillId="8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3" fontId="0" fillId="0" borderId="0" xfId="1" applyNumberFormat="1" applyFont="1" applyBorder="1" applyAlignment="1">
      <alignment horizontal="right"/>
    </xf>
    <xf numFmtId="3" fontId="12" fillId="0" borderId="0" xfId="0" applyNumberFormat="1" applyFont="1"/>
    <xf numFmtId="170" fontId="10" fillId="0" borderId="0" xfId="3" applyNumberFormat="1" applyFont="1" applyAlignment="1">
      <alignment horizontal="center"/>
    </xf>
    <xf numFmtId="3" fontId="7" fillId="0" borderId="0" xfId="0" applyNumberFormat="1" applyFont="1"/>
    <xf numFmtId="0" fontId="14" fillId="4" borderId="37" xfId="0" applyFont="1" applyFill="1" applyBorder="1" applyAlignment="1">
      <alignment horizontal="center"/>
    </xf>
    <xf numFmtId="1" fontId="5" fillId="4" borderId="38" xfId="0" applyNumberFormat="1" applyFont="1" applyFill="1" applyBorder="1" applyAlignment="1">
      <alignment horizontal="center"/>
    </xf>
    <xf numFmtId="167" fontId="5" fillId="4" borderId="38" xfId="0" applyNumberFormat="1" applyFont="1" applyFill="1" applyBorder="1" applyAlignment="1">
      <alignment horizontal="center"/>
    </xf>
    <xf numFmtId="167" fontId="5" fillId="4" borderId="39" xfId="0" applyNumberFormat="1" applyFont="1" applyFill="1" applyBorder="1" applyAlignment="1">
      <alignment horizontal="center"/>
    </xf>
    <xf numFmtId="0" fontId="14" fillId="0" borderId="37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167" fontId="5" fillId="0" borderId="38" xfId="0" applyNumberFormat="1" applyFont="1" applyBorder="1" applyAlignment="1">
      <alignment horizontal="center"/>
    </xf>
    <xf numFmtId="167" fontId="5" fillId="0" borderId="39" xfId="0" applyNumberFormat="1" applyFont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1" fontId="5" fillId="4" borderId="20" xfId="0" applyNumberFormat="1" applyFont="1" applyFill="1" applyBorder="1" applyAlignment="1">
      <alignment horizontal="center"/>
    </xf>
    <xf numFmtId="167" fontId="5" fillId="4" borderId="20" xfId="0" applyNumberFormat="1" applyFont="1" applyFill="1" applyBorder="1" applyAlignment="1">
      <alignment horizontal="center"/>
    </xf>
    <xf numFmtId="167" fontId="5" fillId="4" borderId="21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3" fontId="10" fillId="0" borderId="17" xfId="0" applyNumberFormat="1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3" fontId="10" fillId="0" borderId="19" xfId="0" applyNumberFormat="1" applyFont="1" applyBorder="1" applyAlignment="1">
      <alignment horizontal="center" vertical="center"/>
    </xf>
    <xf numFmtId="3" fontId="10" fillId="4" borderId="41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 vertical="center"/>
    </xf>
    <xf numFmtId="3" fontId="10" fillId="0" borderId="14" xfId="1" applyNumberFormat="1" applyFont="1" applyFill="1" applyBorder="1" applyAlignment="1">
      <alignment horizontal="center" vertical="center"/>
    </xf>
    <xf numFmtId="3" fontId="10" fillId="0" borderId="40" xfId="0" applyNumberFormat="1" applyFont="1" applyBorder="1" applyAlignment="1">
      <alignment horizontal="center" vertical="center"/>
    </xf>
    <xf numFmtId="3" fontId="10" fillId="4" borderId="17" xfId="1" applyNumberFormat="1" applyFont="1" applyFill="1" applyBorder="1" applyAlignment="1">
      <alignment horizontal="center" vertical="center"/>
    </xf>
    <xf numFmtId="3" fontId="10" fillId="0" borderId="17" xfId="1" applyNumberFormat="1" applyFont="1" applyFill="1" applyBorder="1" applyAlignment="1">
      <alignment horizontal="center" vertical="center"/>
    </xf>
    <xf numFmtId="3" fontId="10" fillId="0" borderId="41" xfId="0" applyNumberFormat="1" applyFont="1" applyBorder="1" applyAlignment="1">
      <alignment horizontal="center" vertical="center"/>
    </xf>
    <xf numFmtId="3" fontId="10" fillId="0" borderId="42" xfId="0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4">
    <cellStyle name="Bad" xfId="2" builtinId="27"/>
    <cellStyle name="Comma" xfId="1" builtinId="3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Historical Pumping by Permit Type</a:t>
            </a:r>
          </a:p>
          <a:p>
            <a:pPr>
              <a:defRPr sz="1800" b="1"/>
            </a:pPr>
            <a:r>
              <a:rPr lang="en-US" sz="1200" b="1"/>
              <a:t>(By Year</a:t>
            </a:r>
            <a:r>
              <a:rPr lang="en-US" sz="1200" b="1" baseline="0"/>
              <a:t> in Acre-Feet)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Pumped!$K$70</c:f>
              <c:strCache>
                <c:ptCount val="1"/>
                <c:pt idx="0">
                  <c:v>Mun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Pumped!$J$71:$J$86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Pumped!$K$71:$K$86</c:f>
              <c:numCache>
                <c:formatCode>#,##0</c:formatCode>
                <c:ptCount val="16"/>
                <c:pt idx="0">
                  <c:v>266655</c:v>
                </c:pt>
                <c:pt idx="1">
                  <c:v>243043</c:v>
                </c:pt>
                <c:pt idx="2">
                  <c:v>255204</c:v>
                </c:pt>
                <c:pt idx="3">
                  <c:v>260331</c:v>
                </c:pt>
                <c:pt idx="4">
                  <c:v>257877</c:v>
                </c:pt>
                <c:pt idx="5">
                  <c:v>234023</c:v>
                </c:pt>
                <c:pt idx="6">
                  <c:v>214814.88800000001</c:v>
                </c:pt>
                <c:pt idx="7">
                  <c:v>241858.58300000004</c:v>
                </c:pt>
                <c:pt idx="8">
                  <c:v>227248.57799999998</c:v>
                </c:pt>
                <c:pt idx="9">
                  <c:v>262937.283</c:v>
                </c:pt>
                <c:pt idx="10">
                  <c:v>245092</c:v>
                </c:pt>
                <c:pt idx="11">
                  <c:v>241488.95099999997</c:v>
                </c:pt>
                <c:pt idx="12">
                  <c:v>217990.77699999997</c:v>
                </c:pt>
                <c:pt idx="13">
                  <c:v>206580.27600000004</c:v>
                </c:pt>
                <c:pt idx="14">
                  <c:v>228121.92099999997</c:v>
                </c:pt>
                <c:pt idx="15">
                  <c:v>206607.09100000001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D-48BF-B84E-6FC943E2E12D}"/>
            </c:ext>
          </c:extLst>
        </c:ser>
        <c:ser>
          <c:idx val="1"/>
          <c:order val="1"/>
          <c:tx>
            <c:strRef>
              <c:f>Pumped!$L$70</c:f>
              <c:strCache>
                <c:ptCount val="1"/>
                <c:pt idx="0">
                  <c:v>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Pumped!$J$71:$J$86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Pumped!$L$71:$L$86</c:f>
              <c:numCache>
                <c:formatCode>#,##0</c:formatCode>
                <c:ptCount val="16"/>
                <c:pt idx="0">
                  <c:v>28815</c:v>
                </c:pt>
                <c:pt idx="1">
                  <c:v>25326</c:v>
                </c:pt>
                <c:pt idx="2">
                  <c:v>26187</c:v>
                </c:pt>
                <c:pt idx="3">
                  <c:v>23392</c:v>
                </c:pt>
                <c:pt idx="4">
                  <c:v>22560</c:v>
                </c:pt>
                <c:pt idx="5">
                  <c:v>26270</c:v>
                </c:pt>
                <c:pt idx="6">
                  <c:v>22845.356</c:v>
                </c:pt>
                <c:pt idx="7">
                  <c:v>21886.842000000004</c:v>
                </c:pt>
                <c:pt idx="8">
                  <c:v>24076.486999999997</c:v>
                </c:pt>
                <c:pt idx="9">
                  <c:v>22795.223000000002</c:v>
                </c:pt>
                <c:pt idx="10">
                  <c:v>22098</c:v>
                </c:pt>
                <c:pt idx="11">
                  <c:v>23802.585999999996</c:v>
                </c:pt>
                <c:pt idx="12">
                  <c:v>26782.156000000003</c:v>
                </c:pt>
                <c:pt idx="13">
                  <c:v>25744.463</c:v>
                </c:pt>
                <c:pt idx="14">
                  <c:v>27727.264000000003</c:v>
                </c:pt>
                <c:pt idx="15">
                  <c:v>23614.508999999998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D-48BF-B84E-6FC943E2E12D}"/>
            </c:ext>
          </c:extLst>
        </c:ser>
        <c:ser>
          <c:idx val="2"/>
          <c:order val="2"/>
          <c:tx>
            <c:strRef>
              <c:f>Pumped!$M$70</c:f>
              <c:strCache>
                <c:ptCount val="1"/>
                <c:pt idx="0">
                  <c:v>Irr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Pumped!$J$71:$J$86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Pumped!$M$71:$M$86</c:f>
              <c:numCache>
                <c:formatCode>#,##0</c:formatCode>
                <c:ptCount val="16"/>
                <c:pt idx="0">
                  <c:v>112708</c:v>
                </c:pt>
                <c:pt idx="1">
                  <c:v>108886</c:v>
                </c:pt>
                <c:pt idx="2">
                  <c:v>72690</c:v>
                </c:pt>
                <c:pt idx="3">
                  <c:v>124905</c:v>
                </c:pt>
                <c:pt idx="4">
                  <c:v>90556</c:v>
                </c:pt>
                <c:pt idx="5">
                  <c:v>76341</c:v>
                </c:pt>
                <c:pt idx="6">
                  <c:v>75288.367999999988</c:v>
                </c:pt>
                <c:pt idx="7">
                  <c:v>41761.933000000005</c:v>
                </c:pt>
                <c:pt idx="8">
                  <c:v>54669.03</c:v>
                </c:pt>
                <c:pt idx="9">
                  <c:v>74119.466</c:v>
                </c:pt>
                <c:pt idx="10">
                  <c:v>83950</c:v>
                </c:pt>
                <c:pt idx="11">
                  <c:v>73728.097999999998</c:v>
                </c:pt>
                <c:pt idx="12">
                  <c:v>97684.34</c:v>
                </c:pt>
                <c:pt idx="13">
                  <c:v>74283.284</c:v>
                </c:pt>
                <c:pt idx="14">
                  <c:v>111023.973</c:v>
                </c:pt>
                <c:pt idx="15">
                  <c:v>69764.98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D-48BF-B84E-6FC943E2E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963967"/>
        <c:axId val="388961471"/>
      </c:lineChart>
      <c:catAx>
        <c:axId val="38896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61471"/>
        <c:crosses val="autoZero"/>
        <c:auto val="1"/>
        <c:lblAlgn val="ctr"/>
        <c:lblOffset val="100"/>
        <c:noMultiLvlLbl val="0"/>
      </c:catAx>
      <c:valAx>
        <c:axId val="3889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485774</xdr:colOff>
      <xdr:row>65</xdr:row>
      <xdr:rowOff>38100</xdr:rowOff>
    </xdr:from>
    <xdr:to>
      <xdr:col>27</xdr:col>
      <xdr:colOff>523875</xdr:colOff>
      <xdr:row>91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930B9-1BE3-4B4C-BC5A-0DB9AC206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18"/>
  <sheetViews>
    <sheetView tabSelected="1" zoomScaleNormal="100" workbookViewId="0">
      <selection activeCell="N16" sqref="N16"/>
    </sheetView>
  </sheetViews>
  <sheetFormatPr defaultColWidth="9.140625" defaultRowHeight="15" x14ac:dyDescent="0.25"/>
  <cols>
    <col min="1" max="1" width="2.28515625" style="37" customWidth="1"/>
    <col min="2" max="2" width="10.85546875" style="37" customWidth="1"/>
    <col min="3" max="3" width="13.7109375" style="37" customWidth="1"/>
    <col min="4" max="11" width="15.7109375" style="37" customWidth="1"/>
    <col min="12" max="12" width="3" style="37" customWidth="1"/>
    <col min="13" max="15" width="12.7109375" style="37" customWidth="1"/>
    <col min="16" max="17" width="10.7109375" style="37" customWidth="1"/>
    <col min="18" max="18" width="20.7109375" style="37" customWidth="1"/>
    <col min="19" max="16384" width="9.140625" style="37"/>
  </cols>
  <sheetData>
    <row r="1" spans="2:15" s="38" customFormat="1" ht="20.100000000000001" customHeight="1" thickBot="1" x14ac:dyDescent="0.35">
      <c r="B1" s="61"/>
    </row>
    <row r="2" spans="2:15" ht="24.95" customHeight="1" thickBot="1" x14ac:dyDescent="0.35">
      <c r="B2" s="194" t="s">
        <v>43</v>
      </c>
      <c r="C2" s="195"/>
      <c r="D2" s="195"/>
      <c r="E2" s="195"/>
      <c r="F2" s="195"/>
      <c r="G2" s="196"/>
      <c r="H2"/>
      <c r="I2" s="207" t="s">
        <v>53</v>
      </c>
      <c r="J2" s="208"/>
      <c r="K2"/>
      <c r="M2" s="144" t="s">
        <v>63</v>
      </c>
      <c r="N2" s="145">
        <v>572000</v>
      </c>
    </row>
    <row r="3" spans="2:15" ht="24.95" customHeight="1" thickBot="1" x14ac:dyDescent="0.35">
      <c r="B3" s="205" t="s">
        <v>0</v>
      </c>
      <c r="C3" s="112" t="s">
        <v>21</v>
      </c>
      <c r="D3" s="202" t="s">
        <v>44</v>
      </c>
      <c r="E3" s="203"/>
      <c r="F3" s="203"/>
      <c r="G3" s="204"/>
      <c r="H3"/>
      <c r="I3" s="173" t="s">
        <v>45</v>
      </c>
      <c r="J3" s="174" t="s">
        <v>17</v>
      </c>
      <c r="K3"/>
      <c r="M3" s="144" t="s">
        <v>62</v>
      </c>
      <c r="N3" s="145">
        <v>571599.5</v>
      </c>
    </row>
    <row r="4" spans="2:15" ht="24.95" customHeight="1" thickBot="1" x14ac:dyDescent="0.35">
      <c r="B4" s="206"/>
      <c r="C4" s="113" t="s">
        <v>22</v>
      </c>
      <c r="D4" s="114" t="s">
        <v>17</v>
      </c>
      <c r="E4" s="115" t="s">
        <v>30</v>
      </c>
      <c r="F4" s="115" t="s">
        <v>12</v>
      </c>
      <c r="G4" s="116" t="s">
        <v>20</v>
      </c>
      <c r="H4"/>
      <c r="I4" s="172" t="s">
        <v>46</v>
      </c>
      <c r="J4" s="175" t="s">
        <v>52</v>
      </c>
      <c r="K4"/>
      <c r="M4" s="146" t="s">
        <v>64</v>
      </c>
      <c r="N4" s="145">
        <f>N2-N3</f>
        <v>400.5</v>
      </c>
    </row>
    <row r="5" spans="2:15" ht="24.95" customHeight="1" x14ac:dyDescent="0.25">
      <c r="B5" s="42">
        <v>2008</v>
      </c>
      <c r="C5" s="63" t="s">
        <v>23</v>
      </c>
      <c r="D5" s="44">
        <f>D26+H26+D47+H47</f>
        <v>571599.5</v>
      </c>
      <c r="E5" s="45">
        <f t="shared" ref="E5:E17" si="0">E26+I26+E47+I47</f>
        <v>564097.08000000007</v>
      </c>
      <c r="F5" s="45">
        <f t="shared" ref="F5:F17" si="1">F26+J26+F47+J47</f>
        <v>408178</v>
      </c>
      <c r="G5" s="46">
        <f t="shared" ref="G5:G17" si="2">G26+K26+G47+K47</f>
        <v>155919.08000000002</v>
      </c>
      <c r="H5" s="181"/>
      <c r="I5" s="182">
        <f>Recharge!C11</f>
        <v>212900</v>
      </c>
      <c r="J5" s="183">
        <v>862.8458999999998</v>
      </c>
      <c r="K5" s="158">
        <f>1-((E5-J5)/E5)</f>
        <v>1.5296053296357526E-3</v>
      </c>
    </row>
    <row r="6" spans="2:15" ht="24.95" customHeight="1" x14ac:dyDescent="0.25">
      <c r="B6" s="71">
        <v>2009</v>
      </c>
      <c r="C6" s="72" t="s">
        <v>24</v>
      </c>
      <c r="D6" s="70">
        <f t="shared" ref="D5:D17" si="3">D27+H27+D48+H48</f>
        <v>571599.50000000012</v>
      </c>
      <c r="E6" s="68">
        <f t="shared" si="0"/>
        <v>514802.565</v>
      </c>
      <c r="F6" s="68">
        <f t="shared" si="1"/>
        <v>377255</v>
      </c>
      <c r="G6" s="69">
        <f t="shared" si="2"/>
        <v>137547.56500000003</v>
      </c>
      <c r="H6" s="181"/>
      <c r="I6" s="184">
        <f>Recharge!C12</f>
        <v>211000</v>
      </c>
      <c r="J6" s="179">
        <v>1119.3740000000007</v>
      </c>
      <c r="K6" s="158">
        <f t="shared" ref="K6:K18" si="4">1-((E6-J6)/E6)</f>
        <v>2.1743753355231155E-3</v>
      </c>
    </row>
    <row r="7" spans="2:15" ht="24.95" customHeight="1" x14ac:dyDescent="0.25">
      <c r="B7" s="50">
        <v>2010</v>
      </c>
      <c r="C7" s="65" t="s">
        <v>25</v>
      </c>
      <c r="D7" s="52">
        <f t="shared" si="3"/>
        <v>571599.5</v>
      </c>
      <c r="E7" s="53">
        <f t="shared" si="0"/>
        <v>571599.5</v>
      </c>
      <c r="F7" s="53">
        <f t="shared" si="1"/>
        <v>354081</v>
      </c>
      <c r="G7" s="54">
        <f t="shared" si="2"/>
        <v>217518.5</v>
      </c>
      <c r="H7" s="181"/>
      <c r="I7" s="185">
        <f>Recharge!C13</f>
        <v>813500</v>
      </c>
      <c r="J7" s="186">
        <v>68.86099999999999</v>
      </c>
      <c r="K7" s="158">
        <f t="shared" si="4"/>
        <v>1.2047071419762911E-4</v>
      </c>
    </row>
    <row r="8" spans="2:15" ht="24.95" customHeight="1" x14ac:dyDescent="0.25">
      <c r="B8" s="71">
        <v>2011</v>
      </c>
      <c r="C8" s="72" t="s">
        <v>26</v>
      </c>
      <c r="D8" s="70">
        <f t="shared" si="3"/>
        <v>571599.5</v>
      </c>
      <c r="E8" s="68">
        <f t="shared" si="0"/>
        <v>476851.81600000005</v>
      </c>
      <c r="F8" s="68">
        <f t="shared" si="1"/>
        <v>408628</v>
      </c>
      <c r="G8" s="69">
        <f t="shared" si="2"/>
        <v>68223.816000000006</v>
      </c>
      <c r="H8" s="181"/>
      <c r="I8" s="184">
        <f>Recharge!C14</f>
        <v>112000</v>
      </c>
      <c r="J8" s="179">
        <v>1483.129000000001</v>
      </c>
      <c r="K8" s="158">
        <f t="shared" si="4"/>
        <v>3.1102513406386922E-3</v>
      </c>
    </row>
    <row r="9" spans="2:15" ht="24.95" customHeight="1" x14ac:dyDescent="0.25">
      <c r="B9" s="50">
        <v>2012</v>
      </c>
      <c r="C9" s="64" t="s">
        <v>27</v>
      </c>
      <c r="D9" s="52">
        <f t="shared" si="3"/>
        <v>571599.50000000012</v>
      </c>
      <c r="E9" s="53">
        <f t="shared" si="0"/>
        <v>448136.40099999995</v>
      </c>
      <c r="F9" s="53">
        <f t="shared" si="1"/>
        <v>370993</v>
      </c>
      <c r="G9" s="54">
        <f t="shared" si="2"/>
        <v>77143.400999999983</v>
      </c>
      <c r="H9" s="181"/>
      <c r="I9" s="185">
        <f>Recharge!C15</f>
        <v>313500</v>
      </c>
      <c r="J9" s="186">
        <v>688.98199999999997</v>
      </c>
      <c r="K9" s="158">
        <f t="shared" si="4"/>
        <v>1.5374381515596003E-3</v>
      </c>
    </row>
    <row r="10" spans="2:15" ht="24.95" customHeight="1" x14ac:dyDescent="0.25">
      <c r="B10" s="71">
        <v>2013</v>
      </c>
      <c r="C10" s="72" t="s">
        <v>28</v>
      </c>
      <c r="D10" s="70">
        <f t="shared" si="3"/>
        <v>571599.5</v>
      </c>
      <c r="E10" s="68">
        <f t="shared" si="0"/>
        <v>394826.10700000002</v>
      </c>
      <c r="F10" s="68">
        <f t="shared" si="1"/>
        <v>336634</v>
      </c>
      <c r="G10" s="69">
        <f t="shared" si="2"/>
        <v>58192.107000000025</v>
      </c>
      <c r="H10" s="181"/>
      <c r="I10" s="184">
        <f>Recharge!C16</f>
        <v>182700</v>
      </c>
      <c r="J10" s="179">
        <v>1201.6309999999994</v>
      </c>
      <c r="K10" s="158">
        <f t="shared" si="4"/>
        <v>3.0434436292228195E-3</v>
      </c>
    </row>
    <row r="11" spans="2:15" ht="24.95" customHeight="1" x14ac:dyDescent="0.25">
      <c r="B11" s="50">
        <v>2014</v>
      </c>
      <c r="C11" s="64" t="s">
        <v>29</v>
      </c>
      <c r="D11" s="52">
        <f t="shared" si="3"/>
        <v>571599.5</v>
      </c>
      <c r="E11" s="53">
        <f t="shared" si="0"/>
        <v>363534.97</v>
      </c>
      <c r="F11" s="53">
        <f t="shared" si="1"/>
        <v>312948.61200000002</v>
      </c>
      <c r="G11" s="54">
        <f t="shared" si="2"/>
        <v>50586.357999999993</v>
      </c>
      <c r="H11" s="181"/>
      <c r="I11" s="185">
        <f>Recharge!C17</f>
        <v>107200</v>
      </c>
      <c r="J11" s="186">
        <v>416.79399999999998</v>
      </c>
      <c r="K11" s="158">
        <f t="shared" si="4"/>
        <v>1.1465031823485461E-3</v>
      </c>
    </row>
    <row r="12" spans="2:15" ht="24.95" customHeight="1" x14ac:dyDescent="0.25">
      <c r="B12" s="71">
        <v>2015</v>
      </c>
      <c r="C12" s="72" t="s">
        <v>33</v>
      </c>
      <c r="D12" s="70">
        <f t="shared" si="3"/>
        <v>571599.5</v>
      </c>
      <c r="E12" s="68">
        <f>E33+I33+E54+I54</f>
        <v>425788.34100000001</v>
      </c>
      <c r="F12" s="68">
        <f t="shared" si="1"/>
        <v>305507.35800000007</v>
      </c>
      <c r="G12" s="69">
        <f t="shared" si="2"/>
        <v>120280.98299999993</v>
      </c>
      <c r="H12" s="181"/>
      <c r="I12" s="184">
        <f>Recharge!C18</f>
        <v>1358300</v>
      </c>
      <c r="J12" s="179">
        <v>590.35332499999959</v>
      </c>
      <c r="K12" s="158">
        <f t="shared" si="4"/>
        <v>1.3864948101055541E-3</v>
      </c>
      <c r="N12" s="120"/>
    </row>
    <row r="13" spans="2:15" ht="24.95" customHeight="1" x14ac:dyDescent="0.25">
      <c r="B13" s="50">
        <v>2016</v>
      </c>
      <c r="C13" s="65" t="s">
        <v>25</v>
      </c>
      <c r="D13" s="52">
        <f t="shared" si="3"/>
        <v>571599.5</v>
      </c>
      <c r="E13" s="53">
        <f t="shared" si="0"/>
        <v>571599.5</v>
      </c>
      <c r="F13" s="53">
        <f t="shared" si="1"/>
        <v>305994.09499999997</v>
      </c>
      <c r="G13" s="54">
        <f t="shared" si="2"/>
        <v>265605.40500000003</v>
      </c>
      <c r="H13" s="181"/>
      <c r="I13" s="185">
        <f>Recharge!C19</f>
        <v>1221100</v>
      </c>
      <c r="J13" s="186">
        <v>325.06299999999993</v>
      </c>
      <c r="K13" s="158">
        <f t="shared" si="4"/>
        <v>5.6869014056160072E-4</v>
      </c>
      <c r="N13" s="120"/>
      <c r="O13" s="120"/>
    </row>
    <row r="14" spans="2:15" ht="24.95" customHeight="1" x14ac:dyDescent="0.25">
      <c r="B14" s="71">
        <v>2017</v>
      </c>
      <c r="C14" s="87" t="s">
        <v>48</v>
      </c>
      <c r="D14" s="70">
        <f t="shared" si="3"/>
        <v>571599</v>
      </c>
      <c r="E14" s="68">
        <f t="shared" si="0"/>
        <v>555471.70400000003</v>
      </c>
      <c r="F14" s="68">
        <f t="shared" si="1"/>
        <v>359851.97200000001</v>
      </c>
      <c r="G14" s="69">
        <f t="shared" si="2"/>
        <v>195619.73200000008</v>
      </c>
      <c r="H14" s="181"/>
      <c r="I14" s="184">
        <f>Recharge!C20</f>
        <v>487000</v>
      </c>
      <c r="J14" s="179">
        <v>417.0250000000002</v>
      </c>
      <c r="K14" s="158">
        <f t="shared" si="4"/>
        <v>7.5075831405446714E-4</v>
      </c>
    </row>
    <row r="15" spans="2:15" ht="24.95" customHeight="1" x14ac:dyDescent="0.25">
      <c r="B15" s="50">
        <v>2018</v>
      </c>
      <c r="C15" s="65" t="s">
        <v>49</v>
      </c>
      <c r="D15" s="52">
        <f t="shared" si="3"/>
        <v>571599</v>
      </c>
      <c r="E15" s="53">
        <f t="shared" si="0"/>
        <v>531073</v>
      </c>
      <c r="F15" s="53">
        <f t="shared" si="1"/>
        <v>351140</v>
      </c>
      <c r="G15" s="54">
        <f t="shared" si="2"/>
        <v>179933</v>
      </c>
      <c r="H15" s="181"/>
      <c r="I15" s="185">
        <f>Recharge!C21</f>
        <v>1100000</v>
      </c>
      <c r="J15" s="186">
        <v>1250.7229459999999</v>
      </c>
      <c r="K15" s="158">
        <f t="shared" si="4"/>
        <v>2.3550866754665778E-3</v>
      </c>
    </row>
    <row r="16" spans="2:15" ht="24.75" customHeight="1" x14ac:dyDescent="0.25">
      <c r="B16" s="71">
        <v>2019</v>
      </c>
      <c r="C16" s="87" t="s">
        <v>25</v>
      </c>
      <c r="D16" s="70">
        <f t="shared" si="3"/>
        <v>571599.5</v>
      </c>
      <c r="E16" s="68">
        <f t="shared" si="0"/>
        <v>571599.5</v>
      </c>
      <c r="F16" s="68">
        <f t="shared" si="1"/>
        <v>339019.63499999995</v>
      </c>
      <c r="G16" s="69">
        <f t="shared" si="2"/>
        <v>232579.86500000005</v>
      </c>
      <c r="H16" s="181"/>
      <c r="I16" s="184">
        <f>Recharge!C22</f>
        <v>492000</v>
      </c>
      <c r="J16" s="179">
        <v>361.50000000000006</v>
      </c>
      <c r="K16" s="158">
        <f t="shared" si="4"/>
        <v>6.3243582263450282E-4</v>
      </c>
    </row>
    <row r="17" spans="2:18" ht="24.75" customHeight="1" x14ac:dyDescent="0.25">
      <c r="B17" s="131">
        <v>2020</v>
      </c>
      <c r="C17" s="132" t="s">
        <v>61</v>
      </c>
      <c r="D17" s="176">
        <f t="shared" si="3"/>
        <v>571599.5</v>
      </c>
      <c r="E17" s="177">
        <f t="shared" si="0"/>
        <v>541805.24800000002</v>
      </c>
      <c r="F17" s="177">
        <f t="shared" si="1"/>
        <v>342457.27299999993</v>
      </c>
      <c r="G17" s="178">
        <f t="shared" si="2"/>
        <v>199347.97500000003</v>
      </c>
      <c r="H17" s="181"/>
      <c r="I17" s="185">
        <f>Recharge!C23</f>
        <v>184000</v>
      </c>
      <c r="J17" s="187">
        <v>1583</v>
      </c>
      <c r="K17" s="158">
        <f t="shared" si="4"/>
        <v>2.9217140399496744E-3</v>
      </c>
    </row>
    <row r="18" spans="2:18" ht="24.75" customHeight="1" x14ac:dyDescent="0.25">
      <c r="B18" s="71">
        <v>2021</v>
      </c>
      <c r="C18" s="87" t="s">
        <v>67</v>
      </c>
      <c r="D18" s="70">
        <f t="shared" ref="D18:D19" si="5">D39+H39+D60+H60</f>
        <v>571599.5</v>
      </c>
      <c r="E18" s="68">
        <f t="shared" ref="E18:E19" si="6">E39+I39+E60+I60</f>
        <v>544366.05799999996</v>
      </c>
      <c r="F18" s="68">
        <f t="shared" ref="F18:F19" si="7">F39+J39+F60+J60</f>
        <v>306608.02300000004</v>
      </c>
      <c r="G18" s="69">
        <f t="shared" ref="G18:G19" si="8">G39+K39+G60+K60</f>
        <v>237758.03499999997</v>
      </c>
      <c r="H18" s="181"/>
      <c r="I18" s="184">
        <f>Recharge!C24</f>
        <v>244000</v>
      </c>
      <c r="J18" s="179">
        <v>1369</v>
      </c>
      <c r="K18" s="158">
        <f t="shared" si="4"/>
        <v>2.5148518719732005E-3</v>
      </c>
    </row>
    <row r="19" spans="2:18" ht="24.75" customHeight="1" x14ac:dyDescent="0.25">
      <c r="B19" s="131">
        <v>2022</v>
      </c>
      <c r="C19" s="132" t="s">
        <v>68</v>
      </c>
      <c r="D19" s="176">
        <f t="shared" si="5"/>
        <v>571599.5</v>
      </c>
      <c r="E19" s="177">
        <f t="shared" si="6"/>
        <v>443556.53800000006</v>
      </c>
      <c r="F19" s="177">
        <f t="shared" si="7"/>
        <v>366873.158</v>
      </c>
      <c r="G19" s="178">
        <f t="shared" si="8"/>
        <v>76683.38</v>
      </c>
      <c r="H19" s="181"/>
      <c r="I19" s="185">
        <f>Recharge!C25</f>
        <v>156000</v>
      </c>
      <c r="J19" s="187">
        <v>2439.5619999999999</v>
      </c>
      <c r="K19" s="158">
        <f t="shared" ref="K19:K20" si="9">1-((E19-J19)/E19)</f>
        <v>5.5000023469385928E-3</v>
      </c>
    </row>
    <row r="20" spans="2:18" ht="24.75" customHeight="1" x14ac:dyDescent="0.25">
      <c r="B20" s="71">
        <v>2023</v>
      </c>
      <c r="C20" s="87" t="s">
        <v>69</v>
      </c>
      <c r="D20" s="70">
        <f t="shared" ref="D20" si="10">D41+H41+D62+H62</f>
        <v>571599.5</v>
      </c>
      <c r="E20" s="68">
        <f t="shared" ref="E20" si="11">E41+I41+E62+I62</f>
        <v>362801.14399999997</v>
      </c>
      <c r="F20" s="68">
        <f t="shared" ref="F20" si="12">F41+J41+F62+J62</f>
        <v>299986.58000000007</v>
      </c>
      <c r="G20" s="69">
        <f t="shared" ref="G20" si="13">G41+K41+G62+K62</f>
        <v>62814.563999999977</v>
      </c>
      <c r="H20" s="181"/>
      <c r="I20" s="184">
        <f>Recharge!C26</f>
        <v>147000</v>
      </c>
      <c r="J20" s="179">
        <v>2768.3150000000005</v>
      </c>
      <c r="K20" s="158">
        <f t="shared" si="9"/>
        <v>7.6303921467237856E-3</v>
      </c>
    </row>
    <row r="21" spans="2:18" ht="24.75" customHeight="1" x14ac:dyDescent="0.25">
      <c r="B21" s="133"/>
      <c r="C21" s="134"/>
      <c r="D21" s="135"/>
      <c r="E21" s="135"/>
      <c r="F21" s="135"/>
      <c r="G21" s="135"/>
      <c r="H21" s="62"/>
      <c r="I21" s="136"/>
      <c r="J21" s="136"/>
      <c r="K21" s="62"/>
    </row>
    <row r="22" spans="2:18" ht="20.100000000000001" customHeight="1" thickBot="1" x14ac:dyDescent="0.3">
      <c r="F22" s="120"/>
    </row>
    <row r="23" spans="2:18" s="38" customFormat="1" ht="24.95" customHeight="1" thickBot="1" x14ac:dyDescent="0.35">
      <c r="B23" s="191" t="s">
        <v>41</v>
      </c>
      <c r="C23" s="192"/>
      <c r="D23" s="192"/>
      <c r="E23" s="192"/>
      <c r="F23" s="192"/>
      <c r="G23" s="192"/>
      <c r="H23" s="192"/>
      <c r="I23" s="192"/>
      <c r="J23" s="192"/>
      <c r="K23" s="193"/>
    </row>
    <row r="24" spans="2:18" s="38" customFormat="1" ht="24.95" customHeight="1" thickBot="1" x14ac:dyDescent="0.35">
      <c r="B24" s="197" t="s">
        <v>0</v>
      </c>
      <c r="C24" s="197" t="s">
        <v>21</v>
      </c>
      <c r="D24" s="199" t="s">
        <v>18</v>
      </c>
      <c r="E24" s="200"/>
      <c r="F24" s="200"/>
      <c r="G24" s="201"/>
      <c r="H24" s="200" t="s">
        <v>19</v>
      </c>
      <c r="I24" s="200"/>
      <c r="J24" s="200"/>
      <c r="K24" s="201"/>
      <c r="M24" s="188" t="s">
        <v>31</v>
      </c>
      <c r="N24" s="189"/>
      <c r="O24" s="190"/>
    </row>
    <row r="25" spans="2:18" s="38" customFormat="1" ht="24.95" customHeight="1" thickBot="1" x14ac:dyDescent="0.35">
      <c r="B25" s="198"/>
      <c r="C25" s="198"/>
      <c r="D25" s="39" t="s">
        <v>17</v>
      </c>
      <c r="E25" s="40" t="s">
        <v>30</v>
      </c>
      <c r="F25" s="40" t="s">
        <v>12</v>
      </c>
      <c r="G25" s="41" t="s">
        <v>20</v>
      </c>
      <c r="H25" s="39" t="s">
        <v>17</v>
      </c>
      <c r="I25" s="40" t="s">
        <v>30</v>
      </c>
      <c r="J25" s="40" t="s">
        <v>12</v>
      </c>
      <c r="K25" s="41" t="s">
        <v>20</v>
      </c>
      <c r="M25" s="117" t="s">
        <v>17</v>
      </c>
      <c r="N25" s="118" t="s">
        <v>40</v>
      </c>
      <c r="O25" s="119" t="s">
        <v>12</v>
      </c>
    </row>
    <row r="26" spans="2:18" s="38" customFormat="1" ht="24.95" customHeight="1" x14ac:dyDescent="0.3">
      <c r="B26" s="42">
        <v>2008</v>
      </c>
      <c r="C26" s="43">
        <v>1.6400000000000001E-2</v>
      </c>
      <c r="D26" s="44">
        <f>Permitted!B5</f>
        <v>372670.70299999998</v>
      </c>
      <c r="E26" s="45">
        <f>Permitted!C5</f>
        <v>366711.18400000001</v>
      </c>
      <c r="F26" s="45">
        <f>Pumped!O25</f>
        <v>290576</v>
      </c>
      <c r="G26" s="46">
        <f>E26-F26</f>
        <v>76135.184000000008</v>
      </c>
      <c r="H26" s="47">
        <f>Permitted!D5</f>
        <v>96489.03</v>
      </c>
      <c r="I26" s="47">
        <f>Permitted!E5</f>
        <v>94946.129000000001</v>
      </c>
      <c r="J26" s="45">
        <f>Pumped!P25</f>
        <v>48993</v>
      </c>
      <c r="K26" s="46">
        <f>I26-J26</f>
        <v>45953.129000000001</v>
      </c>
      <c r="L26" s="48"/>
      <c r="M26" s="103">
        <f>D26+H26</f>
        <v>469159.73300000001</v>
      </c>
      <c r="N26" s="49">
        <f t="shared" ref="N26:O32" si="14">E26+I26</f>
        <v>461657.31300000002</v>
      </c>
      <c r="O26" s="104">
        <f t="shared" si="14"/>
        <v>339569</v>
      </c>
      <c r="R26" s="159"/>
    </row>
    <row r="27" spans="2:18" s="38" customFormat="1" ht="24.95" customHeight="1" x14ac:dyDescent="0.3">
      <c r="B27" s="94">
        <v>2009</v>
      </c>
      <c r="C27" s="95">
        <v>0.11799999999999999</v>
      </c>
      <c r="D27" s="96">
        <f>Permitted!B6</f>
        <v>395184.20400000003</v>
      </c>
      <c r="E27" s="68">
        <f>Permitted!C6</f>
        <v>348584.66600000003</v>
      </c>
      <c r="F27" s="68">
        <f>Pumped!O26</f>
        <v>263465</v>
      </c>
      <c r="G27" s="69">
        <f>E27-F27</f>
        <v>85119.666000000027</v>
      </c>
      <c r="H27" s="70">
        <f>Permitted!D6</f>
        <v>86495.404999999999</v>
      </c>
      <c r="I27" s="96">
        <f>Permitted!E6</f>
        <v>76298.008000000002</v>
      </c>
      <c r="J27" s="96">
        <f>Pumped!P26</f>
        <v>50072</v>
      </c>
      <c r="K27" s="69">
        <f t="shared" ref="K27:K52" si="15">I27-J27</f>
        <v>26226.008000000002</v>
      </c>
      <c r="L27" s="48"/>
      <c r="M27" s="105">
        <f t="shared" ref="M27:M32" si="16">D27+H27</f>
        <v>481679.60900000005</v>
      </c>
      <c r="N27" s="93">
        <f t="shared" si="14"/>
        <v>424882.674</v>
      </c>
      <c r="O27" s="106">
        <f t="shared" si="14"/>
        <v>313537</v>
      </c>
      <c r="R27" s="159"/>
    </row>
    <row r="28" spans="2:18" s="38" customFormat="1" ht="24.95" customHeight="1" x14ac:dyDescent="0.3">
      <c r="B28" s="50">
        <v>2010</v>
      </c>
      <c r="C28" s="51">
        <v>0</v>
      </c>
      <c r="D28" s="52">
        <f>Permitted!B7</f>
        <v>393080.054</v>
      </c>
      <c r="E28" s="53">
        <f>Permitted!C7</f>
        <v>393080.054</v>
      </c>
      <c r="F28" s="53">
        <f>Pumped!O27</f>
        <v>277297</v>
      </c>
      <c r="G28" s="54">
        <f t="shared" ref="G28:G30" si="17">E28-F28</f>
        <v>115783.054</v>
      </c>
      <c r="H28" s="55">
        <f>Permitted!D7</f>
        <v>90729.160999999993</v>
      </c>
      <c r="I28" s="55">
        <f>Permitted!E7</f>
        <v>90729.160999999993</v>
      </c>
      <c r="J28" s="53">
        <f>Pumped!P27</f>
        <v>34572</v>
      </c>
      <c r="K28" s="54">
        <f t="shared" si="15"/>
        <v>56157.160999999993</v>
      </c>
      <c r="L28" s="48"/>
      <c r="M28" s="107">
        <f t="shared" si="16"/>
        <v>483809.21499999997</v>
      </c>
      <c r="N28" s="56">
        <f t="shared" si="14"/>
        <v>483809.21499999997</v>
      </c>
      <c r="O28" s="108">
        <f t="shared" si="14"/>
        <v>311869</v>
      </c>
      <c r="R28" s="159"/>
    </row>
    <row r="29" spans="2:18" s="38" customFormat="1" ht="24.95" customHeight="1" x14ac:dyDescent="0.3">
      <c r="B29" s="94">
        <v>2011</v>
      </c>
      <c r="C29" s="95">
        <v>0.192</v>
      </c>
      <c r="D29" s="96">
        <f>Permitted!B8</f>
        <v>391712.391</v>
      </c>
      <c r="E29" s="68">
        <f>Permitted!C8</f>
        <v>316553.10800000001</v>
      </c>
      <c r="F29" s="68">
        <f>Pumped!O28</f>
        <v>278710</v>
      </c>
      <c r="G29" s="69">
        <f t="shared" si="17"/>
        <v>37843.108000000007</v>
      </c>
      <c r="H29" s="70">
        <f>Permitted!D8</f>
        <v>89926.543999999994</v>
      </c>
      <c r="I29" s="96">
        <f>Permitted!E8</f>
        <v>72676.404999999999</v>
      </c>
      <c r="J29" s="96">
        <f>Pumped!P28</f>
        <v>56734</v>
      </c>
      <c r="K29" s="69">
        <f t="shared" si="15"/>
        <v>15942.404999999999</v>
      </c>
      <c r="L29" s="48"/>
      <c r="M29" s="105">
        <f t="shared" si="16"/>
        <v>481638.935</v>
      </c>
      <c r="N29" s="93">
        <f t="shared" si="14"/>
        <v>389229.51300000004</v>
      </c>
      <c r="O29" s="106">
        <f t="shared" si="14"/>
        <v>335444</v>
      </c>
      <c r="R29" s="159"/>
    </row>
    <row r="30" spans="2:18" s="38" customFormat="1" ht="24.95" customHeight="1" x14ac:dyDescent="0.3">
      <c r="B30" s="50">
        <v>2012</v>
      </c>
      <c r="C30" s="51">
        <v>0.224</v>
      </c>
      <c r="D30" s="52">
        <f>Permitted!B9</f>
        <v>395184.20400000003</v>
      </c>
      <c r="E30" s="53">
        <f>Permitted!C9</f>
        <v>306722.12099999998</v>
      </c>
      <c r="F30" s="53">
        <f>Pumped!O29</f>
        <v>275939</v>
      </c>
      <c r="G30" s="54">
        <f t="shared" si="17"/>
        <v>30783.120999999985</v>
      </c>
      <c r="H30" s="55">
        <f>Permitted!D9</f>
        <v>86495.404999999999</v>
      </c>
      <c r="I30" s="55">
        <f>Permitted!E9</f>
        <v>67135.248999999996</v>
      </c>
      <c r="J30" s="53">
        <f>Pumped!P29</f>
        <v>41393</v>
      </c>
      <c r="K30" s="54">
        <f t="shared" si="15"/>
        <v>25742.248999999996</v>
      </c>
      <c r="L30" s="48"/>
      <c r="M30" s="107">
        <f t="shared" si="16"/>
        <v>481679.60900000005</v>
      </c>
      <c r="N30" s="56">
        <f t="shared" si="14"/>
        <v>373857.37</v>
      </c>
      <c r="O30" s="108">
        <f t="shared" si="14"/>
        <v>317332</v>
      </c>
      <c r="R30" s="159"/>
    </row>
    <row r="31" spans="2:18" s="38" customFormat="1" ht="24.95" customHeight="1" x14ac:dyDescent="0.3">
      <c r="B31" s="94">
        <v>2013</v>
      </c>
      <c r="C31" s="95">
        <v>0.28899999999999998</v>
      </c>
      <c r="D31" s="96">
        <f>Permitted!B10</f>
        <v>390218.90399999998</v>
      </c>
      <c r="E31" s="68">
        <f>Permitted!C10</f>
        <v>277526.35600000003</v>
      </c>
      <c r="F31" s="68">
        <f>Pumped!O30</f>
        <v>256328</v>
      </c>
      <c r="G31" s="69">
        <f>E31-F31</f>
        <v>21198.356000000029</v>
      </c>
      <c r="H31" s="70">
        <f>Permitted!D10</f>
        <v>90667.546000000002</v>
      </c>
      <c r="I31" s="96">
        <f>Permitted!E10</f>
        <v>64491.786</v>
      </c>
      <c r="J31" s="96">
        <f>Pumped!P30</f>
        <v>39382</v>
      </c>
      <c r="K31" s="69">
        <f t="shared" si="15"/>
        <v>25109.786</v>
      </c>
      <c r="L31" s="48"/>
      <c r="M31" s="105">
        <f t="shared" si="16"/>
        <v>480886.44999999995</v>
      </c>
      <c r="N31" s="93">
        <f t="shared" si="14"/>
        <v>342018.14200000005</v>
      </c>
      <c r="O31" s="106">
        <f t="shared" si="14"/>
        <v>295710</v>
      </c>
      <c r="R31" s="159"/>
    </row>
    <row r="32" spans="2:18" s="38" customFormat="1" ht="24.95" customHeight="1" x14ac:dyDescent="0.3">
      <c r="B32" s="50">
        <v>2014</v>
      </c>
      <c r="C32" s="51">
        <v>0.35</v>
      </c>
      <c r="D32" s="52">
        <f>Permitted!B11</f>
        <v>401030.07400000002</v>
      </c>
      <c r="E32" s="53">
        <f>Permitted!C11</f>
        <v>260761.15299999999</v>
      </c>
      <c r="F32" s="53">
        <f>Pumped!O31</f>
        <v>233850.99100000001</v>
      </c>
      <c r="G32" s="54">
        <f>E32-F32</f>
        <v>26910.161999999982</v>
      </c>
      <c r="H32" s="55">
        <f>Permitted!D11</f>
        <v>79692.377999999997</v>
      </c>
      <c r="I32" s="55">
        <f>Permitted!E11</f>
        <v>51839.197</v>
      </c>
      <c r="J32" s="53">
        <f>Pumped!P31</f>
        <v>40231.252999999997</v>
      </c>
      <c r="K32" s="54">
        <f>I32-J32</f>
        <v>11607.944000000003</v>
      </c>
      <c r="L32" s="48"/>
      <c r="M32" s="107">
        <f t="shared" si="16"/>
        <v>480722.45200000005</v>
      </c>
      <c r="N32" s="56">
        <f t="shared" si="14"/>
        <v>312600.34999999998</v>
      </c>
      <c r="O32" s="108">
        <f t="shared" si="14"/>
        <v>274082.24400000001</v>
      </c>
      <c r="R32" s="159"/>
    </row>
    <row r="33" spans="2:18" s="38" customFormat="1" ht="24.95" customHeight="1" x14ac:dyDescent="0.3">
      <c r="B33" s="94">
        <v>2015</v>
      </c>
      <c r="C33" s="95">
        <v>0.19700000000000001</v>
      </c>
      <c r="D33" s="96">
        <f>Permitted!B12</f>
        <v>405065.80200000003</v>
      </c>
      <c r="E33" s="68">
        <f>Permitted!C12</f>
        <v>325316.43599999999</v>
      </c>
      <c r="F33" s="68">
        <f>Pumped!O32</f>
        <v>260459.47600000005</v>
      </c>
      <c r="G33" s="69">
        <f>E33-F33</f>
        <v>64856.959999999934</v>
      </c>
      <c r="H33" s="70">
        <f>Permitted!D12</f>
        <v>105419.77499999999</v>
      </c>
      <c r="I33" s="96">
        <f>Permitted!E12</f>
        <v>51816.758999999998</v>
      </c>
      <c r="J33" s="96">
        <f>Pumped!P32</f>
        <v>22677.752</v>
      </c>
      <c r="K33" s="69">
        <f>I33-J33</f>
        <v>29139.006999999998</v>
      </c>
      <c r="L33" s="48"/>
      <c r="M33" s="105">
        <f t="shared" ref="M33" si="18">D33+H33</f>
        <v>510485.57700000005</v>
      </c>
      <c r="N33" s="93">
        <f t="shared" ref="N33" si="19">E33+I33</f>
        <v>377133.19500000001</v>
      </c>
      <c r="O33" s="106">
        <f t="shared" ref="O33" si="20">F33+J33</f>
        <v>283137.22800000006</v>
      </c>
      <c r="R33" s="159"/>
    </row>
    <row r="34" spans="2:18" s="38" customFormat="1" ht="24.95" customHeight="1" x14ac:dyDescent="0.3">
      <c r="B34" s="57">
        <v>2016</v>
      </c>
      <c r="C34" s="51">
        <v>0</v>
      </c>
      <c r="D34" s="52">
        <f>Permitted!B13</f>
        <v>418149.01400000002</v>
      </c>
      <c r="E34" s="53">
        <f>Permitted!C13</f>
        <v>418149.01400000002</v>
      </c>
      <c r="F34" s="53">
        <f>Pumped!O33</f>
        <v>248209.23799999998</v>
      </c>
      <c r="G34" s="54">
        <f>E34-F34</f>
        <v>169939.77600000004</v>
      </c>
      <c r="H34" s="55">
        <f>Permitted!D13</f>
        <v>76714.126999999993</v>
      </c>
      <c r="I34" s="55">
        <f>Permitted!E13</f>
        <v>76714.126999999993</v>
      </c>
      <c r="J34" s="53">
        <f>Pumped!P33</f>
        <v>25857.166999999998</v>
      </c>
      <c r="K34" s="54">
        <f>I34-J34</f>
        <v>50856.959999999992</v>
      </c>
      <c r="L34" s="48"/>
      <c r="M34" s="107">
        <f t="shared" ref="M34" si="21">D34+H34</f>
        <v>494863.141</v>
      </c>
      <c r="N34" s="56">
        <f t="shared" ref="N34" si="22">E34+I34</f>
        <v>494863.141</v>
      </c>
      <c r="O34" s="108">
        <f t="shared" ref="O34" si="23">F34+J34</f>
        <v>274066.40499999997</v>
      </c>
      <c r="R34" s="159"/>
    </row>
    <row r="35" spans="2:18" s="38" customFormat="1" ht="24.95" customHeight="1" x14ac:dyDescent="0.3">
      <c r="B35" s="94">
        <v>2017</v>
      </c>
      <c r="C35" s="95">
        <v>3.4000000000000002E-2</v>
      </c>
      <c r="D35" s="96">
        <f>Permitted!B14</f>
        <v>415744</v>
      </c>
      <c r="E35" s="68">
        <f>Permitted!C14</f>
        <v>401608.70400000003</v>
      </c>
      <c r="F35" s="68">
        <f>Pumped!O34</f>
        <v>282422.28499999997</v>
      </c>
      <c r="G35" s="69">
        <f>E35-F35</f>
        <v>119186.41900000005</v>
      </c>
      <c r="H35" s="70">
        <f>Permitted!D14</f>
        <v>77149</v>
      </c>
      <c r="I35" s="96">
        <f>Permitted!E14</f>
        <v>75157</v>
      </c>
      <c r="J35" s="96">
        <f>Pumped!P34</f>
        <v>38585.228999999999</v>
      </c>
      <c r="K35" s="69">
        <f>I35-J35</f>
        <v>36571.771000000001</v>
      </c>
      <c r="L35" s="48"/>
      <c r="M35" s="105">
        <f t="shared" ref="M35" si="24">D35+H35</f>
        <v>492893</v>
      </c>
      <c r="N35" s="93">
        <f t="shared" ref="N35" si="25">E35+I35</f>
        <v>476765.70400000003</v>
      </c>
      <c r="O35" s="106">
        <f t="shared" ref="O35" si="26">F35+J35</f>
        <v>321007.51399999997</v>
      </c>
      <c r="R35" s="159"/>
    </row>
    <row r="36" spans="2:18" s="38" customFormat="1" ht="24.95" customHeight="1" x14ac:dyDescent="0.3">
      <c r="B36" s="50">
        <v>2018</v>
      </c>
      <c r="C36" s="51">
        <v>8.6999999999999994E-2</v>
      </c>
      <c r="D36" s="52">
        <f>Permitted!B15</f>
        <v>414919</v>
      </c>
      <c r="E36" s="53">
        <f>Permitted!C15</f>
        <v>378598</v>
      </c>
      <c r="F36" s="53">
        <f>Pumped!O35</f>
        <v>263806</v>
      </c>
      <c r="G36" s="54">
        <f t="shared" ref="G36:G37" si="27">E36-F36</f>
        <v>114792</v>
      </c>
      <c r="H36" s="55">
        <f>Permitted!D15</f>
        <v>78325</v>
      </c>
      <c r="I36" s="55">
        <f>Permitted!E15</f>
        <v>74120</v>
      </c>
      <c r="J36" s="53">
        <f>Pumped!P35</f>
        <v>37447</v>
      </c>
      <c r="K36" s="54">
        <f t="shared" ref="K36:K37" si="28">I36-J36</f>
        <v>36673</v>
      </c>
      <c r="L36" s="48"/>
      <c r="M36" s="107">
        <f t="shared" ref="M36:M37" si="29">D36+H36</f>
        <v>493244</v>
      </c>
      <c r="N36" s="56">
        <f t="shared" ref="N36:N37" si="30">E36+I36</f>
        <v>452718</v>
      </c>
      <c r="O36" s="108">
        <f t="shared" ref="O36:O37" si="31">F36+J36</f>
        <v>301253</v>
      </c>
      <c r="R36" s="159"/>
    </row>
    <row r="37" spans="2:18" s="38" customFormat="1" ht="24.95" customHeight="1" x14ac:dyDescent="0.3">
      <c r="B37" s="94">
        <v>2019</v>
      </c>
      <c r="C37" s="95">
        <v>0</v>
      </c>
      <c r="D37" s="96">
        <f>Permitted!B16</f>
        <v>392611.00900000002</v>
      </c>
      <c r="E37" s="68">
        <f>Permitted!C16</f>
        <v>392611.00900000002</v>
      </c>
      <c r="F37" s="68">
        <f>Pumped!O36</f>
        <v>262224.17599999998</v>
      </c>
      <c r="G37" s="69">
        <f t="shared" si="27"/>
        <v>130386.83300000004</v>
      </c>
      <c r="H37" s="70">
        <f>Permitted!D16</f>
        <v>87073.653000000006</v>
      </c>
      <c r="I37" s="96">
        <f>Permitted!E16</f>
        <v>87073.653000000006</v>
      </c>
      <c r="J37" s="96">
        <f>Pumped!P36</f>
        <v>34851.875</v>
      </c>
      <c r="K37" s="69">
        <f t="shared" si="28"/>
        <v>52221.778000000006</v>
      </c>
      <c r="L37" s="48"/>
      <c r="M37" s="105">
        <f t="shared" si="29"/>
        <v>479684.66200000001</v>
      </c>
      <c r="N37" s="93">
        <f t="shared" si="30"/>
        <v>479684.66200000001</v>
      </c>
      <c r="O37" s="106">
        <f t="shared" si="31"/>
        <v>297076.05099999998</v>
      </c>
      <c r="R37" s="159"/>
    </row>
    <row r="38" spans="2:18" s="38" customFormat="1" ht="24.95" customHeight="1" x14ac:dyDescent="0.3">
      <c r="B38" s="50">
        <v>2020</v>
      </c>
      <c r="C38" s="51">
        <v>6.3E-2</v>
      </c>
      <c r="D38" s="52">
        <f>Permitted!B17</f>
        <v>392607.39600000001</v>
      </c>
      <c r="E38" s="53">
        <f>Permitted!C17</f>
        <v>368082.87</v>
      </c>
      <c r="F38" s="53">
        <f>Pumped!O37</f>
        <v>241195.61799999996</v>
      </c>
      <c r="G38" s="54">
        <f t="shared" ref="G38:G39" si="32">E38-F38</f>
        <v>126887.25200000004</v>
      </c>
      <c r="H38" s="55">
        <f>Permitted!D17</f>
        <v>86778.164999999994</v>
      </c>
      <c r="I38" s="55">
        <f>Permitted!E17</f>
        <v>81508.438999999998</v>
      </c>
      <c r="J38" s="53">
        <f>Pumped!P37</f>
        <v>43931.485000000001</v>
      </c>
      <c r="K38" s="54">
        <f t="shared" ref="K38:K39" si="33">I38-J38</f>
        <v>37576.953999999998</v>
      </c>
      <c r="L38" s="48"/>
      <c r="M38" s="139">
        <f t="shared" ref="M38:M39" si="34">D38+H38</f>
        <v>479385.56099999999</v>
      </c>
      <c r="N38" s="140">
        <f t="shared" ref="N38:N39" si="35">E38+I38</f>
        <v>449591.30900000001</v>
      </c>
      <c r="O38" s="141">
        <f t="shared" ref="O38:O39" si="36">F38+J38</f>
        <v>285127.10299999994</v>
      </c>
      <c r="R38" s="159"/>
    </row>
    <row r="39" spans="2:18" s="38" customFormat="1" ht="24.95" customHeight="1" x14ac:dyDescent="0.3">
      <c r="B39" s="94">
        <v>2021</v>
      </c>
      <c r="C39" s="95">
        <v>5.7000000000000002E-2</v>
      </c>
      <c r="D39" s="96">
        <f>Permitted!B18</f>
        <v>388575.804</v>
      </c>
      <c r="E39" s="68">
        <f>Permitted!C18</f>
        <v>366425.93599999999</v>
      </c>
      <c r="F39" s="68">
        <f>Pumped!O38</f>
        <v>229425.93000000002</v>
      </c>
      <c r="G39" s="69">
        <f t="shared" si="32"/>
        <v>137000.00599999996</v>
      </c>
      <c r="H39" s="70">
        <f>Permitted!D18</f>
        <v>89182.570999999996</v>
      </c>
      <c r="I39" s="96">
        <f>Permitted!E18</f>
        <v>84098.997000000003</v>
      </c>
      <c r="J39" s="96">
        <f>Pumped!P38</f>
        <v>31968.203999999998</v>
      </c>
      <c r="K39" s="69">
        <f t="shared" si="33"/>
        <v>52130.793000000005</v>
      </c>
      <c r="L39" s="48"/>
      <c r="M39" s="105">
        <f t="shared" si="34"/>
        <v>477758.375</v>
      </c>
      <c r="N39" s="93">
        <f t="shared" si="35"/>
        <v>450524.93299999996</v>
      </c>
      <c r="O39" s="106">
        <f t="shared" si="36"/>
        <v>261394.13400000002</v>
      </c>
      <c r="R39" s="159"/>
    </row>
    <row r="40" spans="2:18" s="38" customFormat="1" ht="24.95" customHeight="1" x14ac:dyDescent="0.3">
      <c r="B40" s="50">
        <v>2022</v>
      </c>
      <c r="C40" s="51">
        <v>0.26700000000000002</v>
      </c>
      <c r="D40" s="52">
        <f>Permitted!B19</f>
        <v>389698.70299999998</v>
      </c>
      <c r="E40" s="53">
        <f>Permitted!C19</f>
        <v>286133.59100000001</v>
      </c>
      <c r="F40" s="53">
        <f>Pumped!O39</f>
        <v>252518.73699999999</v>
      </c>
      <c r="G40" s="54">
        <f t="shared" ref="G40:G41" si="37">E40-F40</f>
        <v>33614.854000000021</v>
      </c>
      <c r="H40" s="55">
        <f>Permitted!D19</f>
        <v>89874.641000000003</v>
      </c>
      <c r="I40" s="55">
        <f>Permitted!E19</f>
        <v>71253.548999999999</v>
      </c>
      <c r="J40" s="53">
        <f>Pumped!P39</f>
        <v>49632.419000000002</v>
      </c>
      <c r="K40" s="54">
        <f t="shared" ref="K40:K41" si="38">I40-J40</f>
        <v>21621.129999999997</v>
      </c>
      <c r="L40" s="48"/>
      <c r="M40" s="139">
        <f t="shared" ref="M40:M41" si="39">D40+H40</f>
        <v>479573.34399999998</v>
      </c>
      <c r="N40" s="140">
        <f t="shared" ref="N40:N41" si="40">E40+I40</f>
        <v>357387.14</v>
      </c>
      <c r="O40" s="141">
        <f t="shared" ref="O40:O41" si="41">F40+J40</f>
        <v>302151.15600000002</v>
      </c>
      <c r="R40" s="159"/>
    </row>
    <row r="41" spans="2:18" s="38" customFormat="1" ht="24.95" customHeight="1" thickBot="1" x14ac:dyDescent="0.35">
      <c r="B41" s="94">
        <v>2023</v>
      </c>
      <c r="C41" s="95">
        <v>0.35799999999999998</v>
      </c>
      <c r="D41" s="96">
        <f>Permitted!B20</f>
        <v>380907.18699999998</v>
      </c>
      <c r="E41" s="68">
        <f>Permitted!C20</f>
        <v>244577.58100000001</v>
      </c>
      <c r="F41" s="68">
        <f>Pumped!O40</f>
        <v>227096.90500000003</v>
      </c>
      <c r="G41" s="69">
        <f t="shared" si="37"/>
        <v>17480.675999999978</v>
      </c>
      <c r="H41" s="70">
        <f>Permitted!D20</f>
        <v>87107.947</v>
      </c>
      <c r="I41" s="96">
        <f>Permitted!E20</f>
        <v>52159.447999999997</v>
      </c>
      <c r="J41" s="96">
        <f>Pumped!P40</f>
        <v>31368.401000000002</v>
      </c>
      <c r="K41" s="69">
        <f t="shared" si="38"/>
        <v>20791.046999999995</v>
      </c>
      <c r="L41" s="48"/>
      <c r="M41" s="109">
        <f t="shared" si="39"/>
        <v>468015.13399999996</v>
      </c>
      <c r="N41" s="110">
        <f t="shared" si="40"/>
        <v>296737.02899999998</v>
      </c>
      <c r="O41" s="111">
        <f t="shared" si="41"/>
        <v>258465.30600000004</v>
      </c>
      <c r="R41" s="159"/>
    </row>
    <row r="42" spans="2:18" s="38" customFormat="1" ht="24.95" customHeight="1" x14ac:dyDescent="0.3">
      <c r="B42" s="133"/>
      <c r="C42" s="137"/>
      <c r="D42" s="135"/>
      <c r="E42" s="135"/>
      <c r="F42" s="135"/>
      <c r="G42" s="135"/>
      <c r="H42" s="135"/>
      <c r="I42" s="135"/>
      <c r="J42" s="135"/>
      <c r="K42" s="135"/>
      <c r="L42" s="48"/>
      <c r="M42" s="138"/>
      <c r="N42" s="138"/>
      <c r="O42" s="138"/>
    </row>
    <row r="43" spans="2:18" ht="20.100000000000001" customHeight="1" thickBot="1" x14ac:dyDescent="0.3"/>
    <row r="44" spans="2:18" ht="24.95" customHeight="1" thickBot="1" x14ac:dyDescent="0.3">
      <c r="B44" s="191" t="s">
        <v>42</v>
      </c>
      <c r="C44" s="192"/>
      <c r="D44" s="192"/>
      <c r="E44" s="192"/>
      <c r="F44" s="192"/>
      <c r="G44" s="192"/>
      <c r="H44" s="192"/>
      <c r="I44" s="192"/>
      <c r="J44" s="192"/>
      <c r="K44" s="193"/>
    </row>
    <row r="45" spans="2:18" s="38" customFormat="1" ht="24.95" customHeight="1" thickBot="1" x14ac:dyDescent="0.35">
      <c r="B45" s="197" t="s">
        <v>0</v>
      </c>
      <c r="C45" s="197" t="s">
        <v>21</v>
      </c>
      <c r="D45" s="199" t="s">
        <v>18</v>
      </c>
      <c r="E45" s="200"/>
      <c r="F45" s="200"/>
      <c r="G45" s="201"/>
      <c r="H45" s="200" t="s">
        <v>19</v>
      </c>
      <c r="I45" s="200"/>
      <c r="J45" s="200"/>
      <c r="K45" s="201"/>
      <c r="L45" s="48"/>
      <c r="M45" s="188" t="s">
        <v>32</v>
      </c>
      <c r="N45" s="189"/>
      <c r="O45" s="190"/>
    </row>
    <row r="46" spans="2:18" s="38" customFormat="1" ht="24.95" customHeight="1" thickBot="1" x14ac:dyDescent="0.35">
      <c r="B46" s="198"/>
      <c r="C46" s="198"/>
      <c r="D46" s="39" t="s">
        <v>17</v>
      </c>
      <c r="E46" s="40" t="s">
        <v>30</v>
      </c>
      <c r="F46" s="40" t="s">
        <v>12</v>
      </c>
      <c r="G46" s="41" t="s">
        <v>20</v>
      </c>
      <c r="H46" s="39" t="s">
        <v>17</v>
      </c>
      <c r="I46" s="40" t="s">
        <v>30</v>
      </c>
      <c r="J46" s="40" t="s">
        <v>12</v>
      </c>
      <c r="K46" s="41" t="s">
        <v>20</v>
      </c>
      <c r="L46" s="48"/>
      <c r="M46" s="117" t="s">
        <v>17</v>
      </c>
      <c r="N46" s="118" t="s">
        <v>40</v>
      </c>
      <c r="O46" s="119" t="s">
        <v>12</v>
      </c>
      <c r="P46" s="37"/>
      <c r="Q46" s="37"/>
      <c r="R46" s="37"/>
    </row>
    <row r="47" spans="2:18" s="38" customFormat="1" ht="24.95" customHeight="1" x14ac:dyDescent="0.3">
      <c r="B47" s="58">
        <v>2008</v>
      </c>
      <c r="C47" s="43">
        <v>0</v>
      </c>
      <c r="D47" s="44">
        <f>Permitted!F5</f>
        <v>6497.1350000000002</v>
      </c>
      <c r="E47" s="45">
        <f>Permitted!G5</f>
        <v>6497.1350000000002</v>
      </c>
      <c r="F47" s="45">
        <f>Pumped!O3</f>
        <v>4894</v>
      </c>
      <c r="G47" s="46">
        <f>E47-F47</f>
        <v>1603.1350000000002</v>
      </c>
      <c r="H47" s="47">
        <f>Permitted!H5</f>
        <v>95942.631999999998</v>
      </c>
      <c r="I47" s="47">
        <f>Permitted!I5</f>
        <v>95942.631999999998</v>
      </c>
      <c r="J47" s="45">
        <f>Pumped!P3</f>
        <v>63715</v>
      </c>
      <c r="K47" s="46">
        <f t="shared" si="15"/>
        <v>32227.631999999998</v>
      </c>
      <c r="L47" s="48"/>
      <c r="M47" s="103">
        <f>D47+H47</f>
        <v>102439.76699999999</v>
      </c>
      <c r="N47" s="49">
        <f t="shared" ref="N47:N53" si="42">E47+I47</f>
        <v>102439.76699999999</v>
      </c>
      <c r="O47" s="104">
        <f t="shared" ref="O47:O53" si="43">F47+J47</f>
        <v>68609</v>
      </c>
      <c r="P47" s="37"/>
      <c r="Q47" s="37"/>
      <c r="R47" s="37"/>
    </row>
    <row r="48" spans="2:18" s="38" customFormat="1" ht="24.95" customHeight="1" x14ac:dyDescent="0.3">
      <c r="B48" s="94">
        <v>2009</v>
      </c>
      <c r="C48" s="95">
        <v>0</v>
      </c>
      <c r="D48" s="96">
        <f>Permitted!F6</f>
        <v>6852.02</v>
      </c>
      <c r="E48" s="68">
        <f>Permitted!G6</f>
        <v>6852.02</v>
      </c>
      <c r="F48" s="68">
        <f>Pumped!O4</f>
        <v>4904</v>
      </c>
      <c r="G48" s="69">
        <f t="shared" ref="G48:G52" si="44">E48-F48</f>
        <v>1948.0200000000004</v>
      </c>
      <c r="H48" s="70">
        <f>Permitted!H6</f>
        <v>83067.870999999999</v>
      </c>
      <c r="I48" s="96">
        <f>Permitted!I6</f>
        <v>83067.870999999999</v>
      </c>
      <c r="J48" s="96">
        <f>Pumped!P4</f>
        <v>58814</v>
      </c>
      <c r="K48" s="69">
        <f t="shared" si="15"/>
        <v>24253.870999999999</v>
      </c>
      <c r="L48" s="48"/>
      <c r="M48" s="105">
        <f t="shared" ref="M48:M53" si="45">D48+H48</f>
        <v>89919.891000000003</v>
      </c>
      <c r="N48" s="93">
        <f t="shared" si="42"/>
        <v>89919.891000000003</v>
      </c>
      <c r="O48" s="106">
        <f t="shared" si="43"/>
        <v>63718</v>
      </c>
      <c r="P48" s="37"/>
      <c r="Q48" s="37"/>
      <c r="R48" s="37"/>
    </row>
    <row r="49" spans="2:18" s="38" customFormat="1" ht="24.95" customHeight="1" x14ac:dyDescent="0.3">
      <c r="B49" s="50">
        <v>2010</v>
      </c>
      <c r="C49" s="51">
        <v>0</v>
      </c>
      <c r="D49" s="52">
        <f>Permitted!F7</f>
        <v>6451.4880000000003</v>
      </c>
      <c r="E49" s="53">
        <f>Permitted!G7</f>
        <v>6451.4880000000003</v>
      </c>
      <c r="F49" s="53">
        <f>Pumped!O5</f>
        <v>4094</v>
      </c>
      <c r="G49" s="54">
        <f t="shared" si="44"/>
        <v>2357.4880000000003</v>
      </c>
      <c r="H49" s="55">
        <f>Permitted!H7</f>
        <v>81338.797000000006</v>
      </c>
      <c r="I49" s="55">
        <f>Permitted!I7</f>
        <v>81338.797000000006</v>
      </c>
      <c r="J49" s="53">
        <f>Pumped!P5</f>
        <v>38118</v>
      </c>
      <c r="K49" s="54">
        <f t="shared" si="15"/>
        <v>43220.797000000006</v>
      </c>
      <c r="L49" s="48"/>
      <c r="M49" s="107">
        <f t="shared" si="45"/>
        <v>87790.285000000003</v>
      </c>
      <c r="N49" s="56">
        <f t="shared" si="42"/>
        <v>87790.285000000003</v>
      </c>
      <c r="O49" s="108">
        <f t="shared" si="43"/>
        <v>42212</v>
      </c>
      <c r="P49" s="37"/>
      <c r="Q49" s="37"/>
      <c r="R49" s="37"/>
    </row>
    <row r="50" spans="2:18" s="38" customFormat="1" ht="24.95" customHeight="1" x14ac:dyDescent="0.3">
      <c r="B50" s="94">
        <v>2011</v>
      </c>
      <c r="C50" s="95">
        <v>2.5999999999999999E-2</v>
      </c>
      <c r="D50" s="96">
        <f>Permitted!F8</f>
        <v>6496.4880000000003</v>
      </c>
      <c r="E50" s="68">
        <f>Permitted!G8</f>
        <v>6327.8860000000004</v>
      </c>
      <c r="F50" s="68">
        <f>Pumped!O6</f>
        <v>5013</v>
      </c>
      <c r="G50" s="69">
        <f t="shared" si="44"/>
        <v>1314.8860000000004</v>
      </c>
      <c r="H50" s="70">
        <f>Permitted!H8</f>
        <v>83464.077000000005</v>
      </c>
      <c r="I50" s="96">
        <f>Permitted!I8</f>
        <v>81294.417000000001</v>
      </c>
      <c r="J50" s="96">
        <f>Pumped!P6</f>
        <v>68171</v>
      </c>
      <c r="K50" s="69">
        <f t="shared" si="15"/>
        <v>13123.417000000001</v>
      </c>
      <c r="L50" s="48"/>
      <c r="M50" s="105">
        <f t="shared" si="45"/>
        <v>89960.565000000002</v>
      </c>
      <c r="N50" s="93">
        <f t="shared" si="42"/>
        <v>87622.303</v>
      </c>
      <c r="O50" s="106">
        <f t="shared" si="43"/>
        <v>73184</v>
      </c>
      <c r="P50" s="37"/>
      <c r="Q50" s="37"/>
      <c r="R50" s="37"/>
    </row>
    <row r="51" spans="2:18" s="38" customFormat="1" ht="24.95" customHeight="1" x14ac:dyDescent="0.3">
      <c r="B51" s="57">
        <v>2012</v>
      </c>
      <c r="C51" s="51">
        <v>0.17399999999999999</v>
      </c>
      <c r="D51" s="52">
        <f>Permitted!F9</f>
        <v>6852.02</v>
      </c>
      <c r="E51" s="53">
        <f>Permitted!G9</f>
        <v>5662.3059999999996</v>
      </c>
      <c r="F51" s="53">
        <f>Pumped!O7</f>
        <v>4498</v>
      </c>
      <c r="G51" s="54">
        <f t="shared" si="44"/>
        <v>1164.3059999999996</v>
      </c>
      <c r="H51" s="55">
        <f>Permitted!H9</f>
        <v>83067.870999999999</v>
      </c>
      <c r="I51" s="55">
        <f>Permitted!I9</f>
        <v>68616.725000000006</v>
      </c>
      <c r="J51" s="53">
        <f>Pumped!P7</f>
        <v>49163</v>
      </c>
      <c r="K51" s="54">
        <f t="shared" si="15"/>
        <v>19453.725000000006</v>
      </c>
      <c r="L51" s="48"/>
      <c r="M51" s="107">
        <f t="shared" si="45"/>
        <v>89919.891000000003</v>
      </c>
      <c r="N51" s="56">
        <f t="shared" si="42"/>
        <v>74279.031000000003</v>
      </c>
      <c r="O51" s="108">
        <f t="shared" si="43"/>
        <v>53661</v>
      </c>
      <c r="P51" s="37"/>
      <c r="Q51" s="37"/>
      <c r="R51" s="37"/>
    </row>
    <row r="52" spans="2:18" s="38" customFormat="1" ht="24.95" customHeight="1" x14ac:dyDescent="0.3">
      <c r="B52" s="94">
        <v>2013</v>
      </c>
      <c r="C52" s="95">
        <v>0.41799999999999998</v>
      </c>
      <c r="D52" s="96">
        <f>Permitted!F10</f>
        <v>8966.2839999999997</v>
      </c>
      <c r="E52" s="68">
        <f>Permitted!G10</f>
        <v>5224.5619999999999</v>
      </c>
      <c r="F52" s="68">
        <f>Pumped!O8</f>
        <v>3965</v>
      </c>
      <c r="G52" s="69">
        <f t="shared" si="44"/>
        <v>1259.5619999999999</v>
      </c>
      <c r="H52" s="70">
        <f>Permitted!H10</f>
        <v>81746.766000000003</v>
      </c>
      <c r="I52" s="96">
        <f>Permitted!I10</f>
        <v>47583.402999999998</v>
      </c>
      <c r="J52" s="96">
        <f>Pumped!P8</f>
        <v>36959</v>
      </c>
      <c r="K52" s="69">
        <f t="shared" si="15"/>
        <v>10624.402999999998</v>
      </c>
      <c r="L52" s="48"/>
      <c r="M52" s="105">
        <f t="shared" si="45"/>
        <v>90713.05</v>
      </c>
      <c r="N52" s="93">
        <f t="shared" si="42"/>
        <v>52807.964999999997</v>
      </c>
      <c r="O52" s="106">
        <f t="shared" si="43"/>
        <v>40924</v>
      </c>
      <c r="P52" s="37"/>
      <c r="Q52" s="37"/>
      <c r="R52" s="37"/>
    </row>
    <row r="53" spans="2:18" s="38" customFormat="1" ht="24.95" customHeight="1" x14ac:dyDescent="0.3">
      <c r="B53" s="50">
        <v>2014</v>
      </c>
      <c r="C53" s="51">
        <v>0.44</v>
      </c>
      <c r="D53" s="52">
        <f>Permitted!F11</f>
        <v>8978.9449999999997</v>
      </c>
      <c r="E53" s="53">
        <f>Permitted!G11</f>
        <v>5062.82</v>
      </c>
      <c r="F53" s="53">
        <f>Pumped!O9</f>
        <v>3809.2529999999997</v>
      </c>
      <c r="G53" s="54">
        <f>E53-F53</f>
        <v>1253.567</v>
      </c>
      <c r="H53" s="55">
        <f>Permitted!H11</f>
        <v>81898.103000000003</v>
      </c>
      <c r="I53" s="55">
        <f>Permitted!I11</f>
        <v>45871.8</v>
      </c>
      <c r="J53" s="53">
        <f>Pumped!P9</f>
        <v>35057.114999999998</v>
      </c>
      <c r="K53" s="54">
        <f t="shared" ref="K53" si="46">I53-J53</f>
        <v>10814.685000000005</v>
      </c>
      <c r="L53" s="48"/>
      <c r="M53" s="107">
        <f t="shared" si="45"/>
        <v>90877.04800000001</v>
      </c>
      <c r="N53" s="56">
        <f t="shared" si="42"/>
        <v>50934.62</v>
      </c>
      <c r="O53" s="108">
        <f t="shared" si="43"/>
        <v>38866.367999999995</v>
      </c>
      <c r="P53" s="37"/>
      <c r="Q53" s="37"/>
      <c r="R53" s="37"/>
    </row>
    <row r="54" spans="2:18" s="38" customFormat="1" ht="24.95" customHeight="1" x14ac:dyDescent="0.3">
      <c r="B54" s="94">
        <v>2015</v>
      </c>
      <c r="C54" s="95">
        <v>0.35</v>
      </c>
      <c r="D54" s="96">
        <f>Permitted!F12</f>
        <v>6324.0589999999993</v>
      </c>
      <c r="E54" s="68">
        <f>Permitted!G12</f>
        <v>5037.509</v>
      </c>
      <c r="F54" s="68">
        <f>Pumped!O10</f>
        <v>3285.9490000000001</v>
      </c>
      <c r="G54" s="69">
        <f>E54-F54</f>
        <v>1751.56</v>
      </c>
      <c r="H54" s="70">
        <f>Permitted!H12</f>
        <v>54789.864000000001</v>
      </c>
      <c r="I54" s="96">
        <f>Permitted!I12</f>
        <v>43617.637000000002</v>
      </c>
      <c r="J54" s="96">
        <f>Pumped!P10</f>
        <v>19084.181</v>
      </c>
      <c r="K54" s="69">
        <f>I54-J54</f>
        <v>24533.456000000002</v>
      </c>
      <c r="L54" s="48"/>
      <c r="M54" s="105">
        <f t="shared" ref="M54" si="47">D54+H54</f>
        <v>61113.923000000003</v>
      </c>
      <c r="N54" s="93">
        <f t="shared" ref="N54" si="48">E54+I54</f>
        <v>48655.146000000001</v>
      </c>
      <c r="O54" s="106">
        <f t="shared" ref="O54" si="49">F54+J54</f>
        <v>22370.13</v>
      </c>
      <c r="P54" s="37"/>
      <c r="Q54" s="37"/>
      <c r="R54" s="37"/>
    </row>
    <row r="55" spans="2:18" s="38" customFormat="1" ht="24.95" customHeight="1" x14ac:dyDescent="0.3">
      <c r="B55" s="50">
        <v>2016</v>
      </c>
      <c r="C55" s="51">
        <v>0</v>
      </c>
      <c r="D55" s="52">
        <f>Permitted!F13</f>
        <v>5289.7130000000006</v>
      </c>
      <c r="E55" s="53">
        <f>Permitted!G13</f>
        <v>5289.7130000000006</v>
      </c>
      <c r="F55" s="59">
        <f>Pumped!O11</f>
        <v>3115.8270000000002</v>
      </c>
      <c r="G55" s="60">
        <f>E55-F55</f>
        <v>2173.8860000000004</v>
      </c>
      <c r="H55" s="55">
        <f>Permitted!H13</f>
        <v>71446.645999999993</v>
      </c>
      <c r="I55" s="55">
        <f>Permitted!I13</f>
        <v>71446.645999999993</v>
      </c>
      <c r="J55" s="59">
        <f>Pumped!P11</f>
        <v>28811.863000000001</v>
      </c>
      <c r="K55" s="60">
        <f>I55-J55</f>
        <v>42634.782999999996</v>
      </c>
      <c r="L55" s="48"/>
      <c r="M55" s="107">
        <f t="shared" ref="M55" si="50">D55+H55</f>
        <v>76736.358999999997</v>
      </c>
      <c r="N55" s="56">
        <f t="shared" ref="N55" si="51">E55+I55</f>
        <v>76736.358999999997</v>
      </c>
      <c r="O55" s="108">
        <f t="shared" ref="O55" si="52">F55+J55</f>
        <v>31927.690000000002</v>
      </c>
      <c r="P55" s="37"/>
      <c r="Q55" s="37"/>
      <c r="R55" s="37"/>
    </row>
    <row r="56" spans="2:18" s="38" customFormat="1" ht="24.95" customHeight="1" x14ac:dyDescent="0.3">
      <c r="B56" s="94">
        <v>2017</v>
      </c>
      <c r="C56" s="95">
        <v>0</v>
      </c>
      <c r="D56" s="96">
        <f>Permitted!F14</f>
        <v>5499</v>
      </c>
      <c r="E56" s="68">
        <f>Permitted!G14</f>
        <v>5499</v>
      </c>
      <c r="F56" s="68">
        <f>Pumped!O12</f>
        <v>3310.2210000000005</v>
      </c>
      <c r="G56" s="69">
        <f>E56-F56</f>
        <v>2188.7789999999995</v>
      </c>
      <c r="H56" s="70">
        <f>Permitted!H14</f>
        <v>73207</v>
      </c>
      <c r="I56" s="96">
        <f>Permitted!I14</f>
        <v>73207</v>
      </c>
      <c r="J56" s="96">
        <f>Pumped!P12</f>
        <v>35534.237000000001</v>
      </c>
      <c r="K56" s="69">
        <f>I56-J56</f>
        <v>37672.762999999999</v>
      </c>
      <c r="L56" s="48"/>
      <c r="M56" s="105">
        <f t="shared" ref="M56" si="53">D56+H56</f>
        <v>78706</v>
      </c>
      <c r="N56" s="93">
        <f t="shared" ref="N56" si="54">E56+I56</f>
        <v>78706</v>
      </c>
      <c r="O56" s="106">
        <f t="shared" ref="O56" si="55">F56+J56</f>
        <v>38844.457999999999</v>
      </c>
      <c r="P56" s="37"/>
      <c r="Q56" s="37"/>
      <c r="R56" s="37"/>
    </row>
    <row r="57" spans="2:18" s="38" customFormat="1" ht="24.95" customHeight="1" x14ac:dyDescent="0.3">
      <c r="B57" s="50">
        <v>2018</v>
      </c>
      <c r="C57" s="51">
        <v>0</v>
      </c>
      <c r="D57" s="52">
        <f>Permitted!F15</f>
        <v>4566</v>
      </c>
      <c r="E57" s="53">
        <f>Permitted!G15</f>
        <v>4566</v>
      </c>
      <c r="F57" s="53">
        <f>Pumped!O13</f>
        <v>3384</v>
      </c>
      <c r="G57" s="54">
        <f t="shared" ref="G57:G58" si="56">E57-F57</f>
        <v>1182</v>
      </c>
      <c r="H57" s="55">
        <f>Permitted!H15</f>
        <v>73789</v>
      </c>
      <c r="I57" s="55">
        <f>Permitted!I15</f>
        <v>73789</v>
      </c>
      <c r="J57" s="53">
        <f>Pumped!P13</f>
        <v>46503</v>
      </c>
      <c r="K57" s="54">
        <f t="shared" ref="K57:K58" si="57">I57-J57</f>
        <v>27286</v>
      </c>
      <c r="L57" s="48"/>
      <c r="M57" s="107">
        <f t="shared" ref="M57:M58" si="58">D57+H57</f>
        <v>78355</v>
      </c>
      <c r="N57" s="56">
        <f t="shared" ref="N57:N58" si="59">E57+I57</f>
        <v>78355</v>
      </c>
      <c r="O57" s="108">
        <f t="shared" ref="O57:O58" si="60">F57+J57</f>
        <v>49887</v>
      </c>
      <c r="P57" s="37"/>
      <c r="Q57" s="37"/>
      <c r="R57" s="37"/>
    </row>
    <row r="58" spans="2:18" s="38" customFormat="1" ht="24.95" customHeight="1" x14ac:dyDescent="0.3">
      <c r="B58" s="94">
        <v>2019</v>
      </c>
      <c r="C58" s="95">
        <v>0</v>
      </c>
      <c r="D58" s="96">
        <f>Permitted!F16</f>
        <v>4693.5259999999998</v>
      </c>
      <c r="E58" s="68">
        <f>Permitted!G16</f>
        <v>4693.5259999999998</v>
      </c>
      <c r="F58" s="68">
        <f>Pumped!O14</f>
        <v>3067.3610000000003</v>
      </c>
      <c r="G58" s="69">
        <f t="shared" si="56"/>
        <v>1626.1649999999995</v>
      </c>
      <c r="H58" s="70">
        <f>Permitted!H16</f>
        <v>87221.312000000005</v>
      </c>
      <c r="I58" s="96">
        <f>Permitted!I16</f>
        <v>87221.312000000005</v>
      </c>
      <c r="J58" s="96">
        <f>Pumped!P14</f>
        <v>38876.222999999998</v>
      </c>
      <c r="K58" s="69">
        <f t="shared" si="57"/>
        <v>48345.089000000007</v>
      </c>
      <c r="L58" s="48"/>
      <c r="M58" s="105">
        <f t="shared" si="58"/>
        <v>91914.838000000003</v>
      </c>
      <c r="N58" s="93">
        <f t="shared" si="59"/>
        <v>91914.838000000003</v>
      </c>
      <c r="O58" s="106">
        <f t="shared" si="60"/>
        <v>41943.583999999995</v>
      </c>
      <c r="P58" s="37"/>
      <c r="Q58" s="37"/>
      <c r="R58" s="37"/>
    </row>
    <row r="59" spans="2:18" s="38" customFormat="1" ht="24.95" customHeight="1" x14ac:dyDescent="0.3">
      <c r="B59" s="50">
        <v>2020</v>
      </c>
      <c r="C59" s="51">
        <v>0</v>
      </c>
      <c r="D59" s="52">
        <f>Permitted!F17</f>
        <v>4227.0050000000001</v>
      </c>
      <c r="E59" s="53">
        <f>Permitted!G17</f>
        <v>4227.0050000000001</v>
      </c>
      <c r="F59" s="53">
        <f>Pumped!O15</f>
        <v>3577.3150000000001</v>
      </c>
      <c r="G59" s="54">
        <f t="shared" ref="G59:G60" si="61">E59-F59</f>
        <v>649.69000000000005</v>
      </c>
      <c r="H59" s="55">
        <f>Permitted!H17</f>
        <v>87986.933999999994</v>
      </c>
      <c r="I59" s="55">
        <f>Permitted!I17</f>
        <v>87986.933999999994</v>
      </c>
      <c r="J59" s="53">
        <f>Pumped!P15</f>
        <v>53752.855000000003</v>
      </c>
      <c r="K59" s="54">
        <f t="shared" ref="K59:K60" si="62">I59-J59</f>
        <v>34234.078999999991</v>
      </c>
      <c r="L59" s="48"/>
      <c r="M59" s="107">
        <f t="shared" ref="M59:M60" si="63">D59+H59</f>
        <v>92213.938999999998</v>
      </c>
      <c r="N59" s="56">
        <f t="shared" ref="N59:N60" si="64">E59+I59</f>
        <v>92213.938999999998</v>
      </c>
      <c r="O59" s="108">
        <f t="shared" ref="O59:O60" si="65">F59+J59</f>
        <v>57330.170000000006</v>
      </c>
      <c r="P59" s="37"/>
      <c r="Q59" s="37"/>
      <c r="R59" s="37"/>
    </row>
    <row r="60" spans="2:18" s="38" customFormat="1" ht="24.95" customHeight="1" x14ac:dyDescent="0.3">
      <c r="B60" s="94">
        <v>2021</v>
      </c>
      <c r="C60" s="95">
        <v>0</v>
      </c>
      <c r="D60" s="96">
        <f>Permitted!F18</f>
        <v>3584.6460000000002</v>
      </c>
      <c r="E60" s="68">
        <f>Permitted!G18</f>
        <v>3584.6460000000002</v>
      </c>
      <c r="F60" s="68">
        <f>Pumped!O16</f>
        <v>2898.8089999999997</v>
      </c>
      <c r="G60" s="69">
        <f t="shared" si="61"/>
        <v>685.83700000000044</v>
      </c>
      <c r="H60" s="70">
        <f>Permitted!H18</f>
        <v>90256.479000000007</v>
      </c>
      <c r="I60" s="96">
        <f>Permitted!I18</f>
        <v>90256.479000000007</v>
      </c>
      <c r="J60" s="96">
        <f>Pumped!P16</f>
        <v>42315.08</v>
      </c>
      <c r="K60" s="69">
        <f t="shared" si="62"/>
        <v>47941.399000000005</v>
      </c>
      <c r="L60" s="48"/>
      <c r="M60" s="105">
        <f t="shared" si="63"/>
        <v>93841.125</v>
      </c>
      <c r="N60" s="93">
        <f t="shared" si="64"/>
        <v>93841.125</v>
      </c>
      <c r="O60" s="106">
        <f t="shared" si="65"/>
        <v>45213.889000000003</v>
      </c>
      <c r="P60" s="37"/>
      <c r="Q60" s="37"/>
      <c r="R60" s="37"/>
    </row>
    <row r="61" spans="2:18" s="38" customFormat="1" ht="24.95" customHeight="1" x14ac:dyDescent="0.3">
      <c r="B61" s="50">
        <v>2022</v>
      </c>
      <c r="C61" s="51">
        <v>4.4999999999999998E-2</v>
      </c>
      <c r="D61" s="52">
        <f>Permitted!F19</f>
        <v>4136.2479999999996</v>
      </c>
      <c r="E61" s="53">
        <f>Permitted!G19</f>
        <v>3916.7370000000001</v>
      </c>
      <c r="F61" s="53">
        <f>Pumped!O17</f>
        <v>3330.4479999999999</v>
      </c>
      <c r="G61" s="54">
        <f t="shared" ref="G61:G62" si="66">E61-F61</f>
        <v>586.28900000000021</v>
      </c>
      <c r="H61" s="55">
        <f>Permitted!H19</f>
        <v>87889.907999999996</v>
      </c>
      <c r="I61" s="55">
        <f>Permitted!I19</f>
        <v>82252.660999999993</v>
      </c>
      <c r="J61" s="53">
        <f>Pumped!P17</f>
        <v>61391.553999999996</v>
      </c>
      <c r="K61" s="54">
        <f t="shared" ref="K61:K62" si="67">I61-J61</f>
        <v>20861.106999999996</v>
      </c>
      <c r="L61" s="48"/>
      <c r="M61" s="107">
        <f t="shared" ref="M61:M62" si="68">D61+H61</f>
        <v>92026.155999999988</v>
      </c>
      <c r="N61" s="56">
        <f t="shared" ref="N61:N62" si="69">E61+I61</f>
        <v>86169.397999999986</v>
      </c>
      <c r="O61" s="108">
        <f t="shared" ref="O61:O62" si="70">F61+J61</f>
        <v>64722.001999999993</v>
      </c>
      <c r="P61" s="37"/>
      <c r="Q61" s="37"/>
      <c r="R61" s="37"/>
    </row>
    <row r="62" spans="2:18" s="38" customFormat="1" ht="24.95" customHeight="1" x14ac:dyDescent="0.3">
      <c r="B62" s="94">
        <v>2023</v>
      </c>
      <c r="C62" s="95">
        <v>17</v>
      </c>
      <c r="D62" s="96">
        <f>Permitted!F20</f>
        <v>4364.2110000000002</v>
      </c>
      <c r="E62" s="68">
        <f>Permitted!G20</f>
        <v>3614.0709999999999</v>
      </c>
      <c r="F62" s="68">
        <f>Pumped!O18</f>
        <v>3124.6949999999997</v>
      </c>
      <c r="G62" s="69">
        <f t="shared" si="66"/>
        <v>489.3760000000002</v>
      </c>
      <c r="H62" s="70">
        <f>Permitted!H20</f>
        <v>99220.154999999999</v>
      </c>
      <c r="I62" s="96">
        <f>Permitted!I20</f>
        <v>62450.044000000002</v>
      </c>
      <c r="J62" s="96">
        <f>Pumped!P18</f>
        <v>38396.578999999998</v>
      </c>
      <c r="K62" s="69">
        <f t="shared" si="67"/>
        <v>24053.465000000004</v>
      </c>
      <c r="L62" s="48"/>
      <c r="M62" s="105">
        <f t="shared" si="68"/>
        <v>103584.36599999999</v>
      </c>
      <c r="N62" s="93">
        <f t="shared" si="69"/>
        <v>66064.115000000005</v>
      </c>
      <c r="O62" s="106">
        <f t="shared" si="70"/>
        <v>41521.273999999998</v>
      </c>
      <c r="P62" s="37"/>
      <c r="Q62" s="37"/>
      <c r="R62" s="37"/>
    </row>
    <row r="63" spans="2:18" s="38" customFormat="1" ht="24.95" customHeight="1" x14ac:dyDescent="0.3">
      <c r="B63" s="133"/>
      <c r="C63" s="137"/>
      <c r="D63" s="135"/>
      <c r="E63" s="135"/>
      <c r="F63" s="135"/>
      <c r="G63" s="135"/>
      <c r="H63" s="135"/>
      <c r="I63" s="135"/>
      <c r="J63" s="135"/>
      <c r="K63" s="135"/>
      <c r="L63" s="48"/>
      <c r="M63" s="138"/>
      <c r="N63" s="138"/>
      <c r="O63" s="138"/>
      <c r="P63" s="37"/>
      <c r="Q63" s="37"/>
      <c r="R63" s="37"/>
    </row>
    <row r="64" spans="2:18" s="38" customFormat="1" ht="20.100000000000001" customHeight="1" thickBot="1" x14ac:dyDescent="0.35">
      <c r="B64" s="61"/>
    </row>
    <row r="65" spans="2:18" ht="24.95" customHeight="1" thickBot="1" x14ac:dyDescent="0.3">
      <c r="B65" s="191" t="s">
        <v>43</v>
      </c>
      <c r="C65" s="192"/>
      <c r="D65" s="192"/>
      <c r="E65" s="192"/>
      <c r="F65" s="192"/>
      <c r="G65" s="192"/>
      <c r="H65" s="192"/>
      <c r="I65" s="192"/>
      <c r="J65" s="192"/>
      <c r="K65" s="193"/>
    </row>
    <row r="66" spans="2:18" s="38" customFormat="1" ht="24.95" customHeight="1" thickBot="1" x14ac:dyDescent="0.35">
      <c r="B66" s="209" t="s">
        <v>0</v>
      </c>
      <c r="C66" s="210"/>
      <c r="D66" s="199" t="s">
        <v>18</v>
      </c>
      <c r="E66" s="200"/>
      <c r="F66" s="200"/>
      <c r="G66" s="201"/>
      <c r="H66" s="200" t="s">
        <v>19</v>
      </c>
      <c r="I66" s="200"/>
      <c r="J66" s="200"/>
      <c r="K66" s="201"/>
      <c r="L66" s="48"/>
      <c r="M66" s="188" t="s">
        <v>44</v>
      </c>
      <c r="N66" s="189"/>
      <c r="O66" s="190"/>
    </row>
    <row r="67" spans="2:18" s="38" customFormat="1" ht="24.95" customHeight="1" thickBot="1" x14ac:dyDescent="0.35">
      <c r="B67" s="202"/>
      <c r="C67" s="204"/>
      <c r="D67" s="39" t="s">
        <v>17</v>
      </c>
      <c r="E67" s="40" t="s">
        <v>30</v>
      </c>
      <c r="F67" s="40" t="s">
        <v>12</v>
      </c>
      <c r="G67" s="41" t="s">
        <v>20</v>
      </c>
      <c r="H67" s="39" t="s">
        <v>17</v>
      </c>
      <c r="I67" s="40" t="s">
        <v>30</v>
      </c>
      <c r="J67" s="40" t="s">
        <v>12</v>
      </c>
      <c r="K67" s="41" t="s">
        <v>20</v>
      </c>
      <c r="L67" s="48"/>
      <c r="M67" s="117" t="s">
        <v>17</v>
      </c>
      <c r="N67" s="118" t="s">
        <v>40</v>
      </c>
      <c r="O67" s="119" t="s">
        <v>12</v>
      </c>
      <c r="P67" s="37"/>
      <c r="Q67" s="37"/>
      <c r="R67" s="37"/>
    </row>
    <row r="68" spans="2:18" s="38" customFormat="1" ht="24.95" customHeight="1" x14ac:dyDescent="0.3">
      <c r="B68" s="42">
        <v>2008</v>
      </c>
      <c r="C68" s="63" t="s">
        <v>23</v>
      </c>
      <c r="D68" s="47">
        <f>D26+D47</f>
        <v>379167.83799999999</v>
      </c>
      <c r="E68" s="45">
        <f t="shared" ref="E68:F68" si="71">E26+E47</f>
        <v>373208.31900000002</v>
      </c>
      <c r="F68" s="45">
        <f t="shared" si="71"/>
        <v>295470</v>
      </c>
      <c r="G68" s="46">
        <f>E68-F68</f>
        <v>77738.319000000018</v>
      </c>
      <c r="H68" s="44">
        <f t="shared" ref="H68:H74" si="72">H26+H47</f>
        <v>192431.66200000001</v>
      </c>
      <c r="I68" s="47">
        <f t="shared" ref="I68:J68" si="73">I26+I47</f>
        <v>190888.761</v>
      </c>
      <c r="J68" s="47">
        <f t="shared" si="73"/>
        <v>112708</v>
      </c>
      <c r="K68" s="46">
        <f t="shared" ref="K68:K74" si="74">I68-J68</f>
        <v>78180.760999999999</v>
      </c>
      <c r="L68" s="48"/>
      <c r="M68" s="103">
        <f>F68</f>
        <v>295470</v>
      </c>
      <c r="N68" s="49">
        <f>J68</f>
        <v>112708</v>
      </c>
      <c r="O68" s="104">
        <f>M68+N68</f>
        <v>408178</v>
      </c>
      <c r="P68" s="37"/>
      <c r="Q68" s="37"/>
      <c r="R68" s="120"/>
    </row>
    <row r="69" spans="2:18" s="38" customFormat="1" ht="24.95" customHeight="1" x14ac:dyDescent="0.3">
      <c r="B69" s="71">
        <v>2009</v>
      </c>
      <c r="C69" s="72" t="s">
        <v>24</v>
      </c>
      <c r="D69" s="96">
        <f t="shared" ref="D69:F69" si="75">D27+D48</f>
        <v>402036.22400000005</v>
      </c>
      <c r="E69" s="68">
        <f t="shared" si="75"/>
        <v>355436.68600000005</v>
      </c>
      <c r="F69" s="68">
        <f t="shared" si="75"/>
        <v>268369</v>
      </c>
      <c r="G69" s="69">
        <f t="shared" ref="G69:G73" si="76">E69-F69</f>
        <v>87067.686000000045</v>
      </c>
      <c r="H69" s="70">
        <f t="shared" si="72"/>
        <v>169563.27600000001</v>
      </c>
      <c r="I69" s="96">
        <f t="shared" ref="I69:J74" si="77">I27+I48</f>
        <v>159365.87900000002</v>
      </c>
      <c r="J69" s="96">
        <f t="shared" si="77"/>
        <v>108886</v>
      </c>
      <c r="K69" s="69">
        <f t="shared" si="74"/>
        <v>50479.879000000015</v>
      </c>
      <c r="L69" s="48"/>
      <c r="M69" s="105">
        <f t="shared" ref="M69:M73" si="78">F69</f>
        <v>268369</v>
      </c>
      <c r="N69" s="93">
        <f t="shared" ref="N69:N73" si="79">J69</f>
        <v>108886</v>
      </c>
      <c r="O69" s="106">
        <f t="shared" ref="O69:O73" si="80">M69+N69</f>
        <v>377255</v>
      </c>
      <c r="P69" s="37"/>
      <c r="Q69" s="37"/>
      <c r="R69" s="120"/>
    </row>
    <row r="70" spans="2:18" s="38" customFormat="1" ht="24.95" customHeight="1" x14ac:dyDescent="0.3">
      <c r="B70" s="50">
        <v>2010</v>
      </c>
      <c r="C70" s="65" t="s">
        <v>25</v>
      </c>
      <c r="D70" s="55">
        <f t="shared" ref="D70:F70" si="81">D28+D49</f>
        <v>399531.54200000002</v>
      </c>
      <c r="E70" s="53">
        <f t="shared" si="81"/>
        <v>399531.54200000002</v>
      </c>
      <c r="F70" s="53">
        <f t="shared" si="81"/>
        <v>281391</v>
      </c>
      <c r="G70" s="54">
        <f t="shared" si="76"/>
        <v>118140.54200000002</v>
      </c>
      <c r="H70" s="52">
        <f t="shared" si="72"/>
        <v>172067.95799999998</v>
      </c>
      <c r="I70" s="55">
        <f t="shared" si="77"/>
        <v>172067.95799999998</v>
      </c>
      <c r="J70" s="55">
        <f t="shared" si="77"/>
        <v>72690</v>
      </c>
      <c r="K70" s="54">
        <f t="shared" si="74"/>
        <v>99377.957999999984</v>
      </c>
      <c r="L70" s="48"/>
      <c r="M70" s="107">
        <f t="shared" si="78"/>
        <v>281391</v>
      </c>
      <c r="N70" s="56">
        <f t="shared" si="79"/>
        <v>72690</v>
      </c>
      <c r="O70" s="108">
        <f t="shared" si="80"/>
        <v>354081</v>
      </c>
      <c r="P70" s="37"/>
      <c r="Q70" s="37"/>
      <c r="R70" s="120"/>
    </row>
    <row r="71" spans="2:18" s="38" customFormat="1" ht="24.95" customHeight="1" x14ac:dyDescent="0.3">
      <c r="B71" s="71">
        <v>2011</v>
      </c>
      <c r="C71" s="72" t="s">
        <v>26</v>
      </c>
      <c r="D71" s="96">
        <f t="shared" ref="D71:F71" si="82">D29+D50</f>
        <v>398208.87900000002</v>
      </c>
      <c r="E71" s="68">
        <f t="shared" si="82"/>
        <v>322880.99400000001</v>
      </c>
      <c r="F71" s="68">
        <f t="shared" si="82"/>
        <v>283723</v>
      </c>
      <c r="G71" s="69">
        <f t="shared" si="76"/>
        <v>39157.994000000006</v>
      </c>
      <c r="H71" s="70">
        <f t="shared" si="72"/>
        <v>173390.62099999998</v>
      </c>
      <c r="I71" s="96">
        <f t="shared" si="77"/>
        <v>153970.82199999999</v>
      </c>
      <c r="J71" s="96">
        <f t="shared" si="77"/>
        <v>124905</v>
      </c>
      <c r="K71" s="69">
        <f t="shared" si="74"/>
        <v>29065.821999999986</v>
      </c>
      <c r="L71" s="48"/>
      <c r="M71" s="105">
        <f t="shared" si="78"/>
        <v>283723</v>
      </c>
      <c r="N71" s="93">
        <f t="shared" si="79"/>
        <v>124905</v>
      </c>
      <c r="O71" s="106">
        <f t="shared" si="80"/>
        <v>408628</v>
      </c>
      <c r="P71" s="37"/>
      <c r="Q71" s="37"/>
      <c r="R71" s="120"/>
    </row>
    <row r="72" spans="2:18" s="38" customFormat="1" ht="24.95" customHeight="1" x14ac:dyDescent="0.3">
      <c r="B72" s="50">
        <v>2012</v>
      </c>
      <c r="C72" s="64" t="s">
        <v>27</v>
      </c>
      <c r="D72" s="55">
        <f t="shared" ref="D72:F72" si="83">D30+D51</f>
        <v>402036.22400000005</v>
      </c>
      <c r="E72" s="53">
        <f t="shared" si="83"/>
        <v>312384.42699999997</v>
      </c>
      <c r="F72" s="53">
        <f t="shared" si="83"/>
        <v>280437</v>
      </c>
      <c r="G72" s="54">
        <f t="shared" si="76"/>
        <v>31947.426999999967</v>
      </c>
      <c r="H72" s="52">
        <f t="shared" si="72"/>
        <v>169563.27600000001</v>
      </c>
      <c r="I72" s="55">
        <f t="shared" si="77"/>
        <v>135751.97399999999</v>
      </c>
      <c r="J72" s="55">
        <f t="shared" si="77"/>
        <v>90556</v>
      </c>
      <c r="K72" s="54">
        <f t="shared" si="74"/>
        <v>45195.973999999987</v>
      </c>
      <c r="L72" s="48"/>
      <c r="M72" s="107">
        <f t="shared" si="78"/>
        <v>280437</v>
      </c>
      <c r="N72" s="56">
        <f t="shared" si="79"/>
        <v>90556</v>
      </c>
      <c r="O72" s="108">
        <f t="shared" si="80"/>
        <v>370993</v>
      </c>
      <c r="P72" s="37"/>
      <c r="Q72" s="37"/>
      <c r="R72" s="120"/>
    </row>
    <row r="73" spans="2:18" s="38" customFormat="1" ht="24.95" customHeight="1" x14ac:dyDescent="0.3">
      <c r="B73" s="71">
        <v>2013</v>
      </c>
      <c r="C73" s="72" t="s">
        <v>28</v>
      </c>
      <c r="D73" s="96">
        <f>D31+D52</f>
        <v>399185.18799999997</v>
      </c>
      <c r="E73" s="68">
        <f>E31+E52</f>
        <v>282750.91800000001</v>
      </c>
      <c r="F73" s="68">
        <f>F31+F52</f>
        <v>260293</v>
      </c>
      <c r="G73" s="69">
        <f t="shared" si="76"/>
        <v>22457.918000000005</v>
      </c>
      <c r="H73" s="70">
        <f t="shared" si="72"/>
        <v>172414.31200000001</v>
      </c>
      <c r="I73" s="96">
        <f t="shared" si="77"/>
        <v>112075.189</v>
      </c>
      <c r="J73" s="96">
        <f t="shared" si="77"/>
        <v>76341</v>
      </c>
      <c r="K73" s="69">
        <f t="shared" si="74"/>
        <v>35734.188999999998</v>
      </c>
      <c r="L73" s="48"/>
      <c r="M73" s="105">
        <f t="shared" si="78"/>
        <v>260293</v>
      </c>
      <c r="N73" s="93">
        <f t="shared" si="79"/>
        <v>76341</v>
      </c>
      <c r="O73" s="106">
        <f t="shared" si="80"/>
        <v>336634</v>
      </c>
      <c r="P73" s="37"/>
      <c r="Q73" s="37"/>
      <c r="R73" s="120"/>
    </row>
    <row r="74" spans="2:18" s="38" customFormat="1" ht="24.95" customHeight="1" x14ac:dyDescent="0.3">
      <c r="B74" s="50">
        <v>2014</v>
      </c>
      <c r="C74" s="64" t="s">
        <v>29</v>
      </c>
      <c r="D74" s="55">
        <f>D32+D53</f>
        <v>410009.01900000003</v>
      </c>
      <c r="E74" s="53">
        <f t="shared" ref="E74:F74" si="84">E32+E53</f>
        <v>265823.973</v>
      </c>
      <c r="F74" s="53">
        <f t="shared" si="84"/>
        <v>237660.24400000001</v>
      </c>
      <c r="G74" s="54">
        <f>E74-F74</f>
        <v>28163.728999999992</v>
      </c>
      <c r="H74" s="52">
        <f t="shared" si="72"/>
        <v>161590.481</v>
      </c>
      <c r="I74" s="55">
        <f t="shared" si="77"/>
        <v>97710.997000000003</v>
      </c>
      <c r="J74" s="55">
        <f t="shared" si="77"/>
        <v>75288.367999999988</v>
      </c>
      <c r="K74" s="54">
        <f t="shared" si="74"/>
        <v>22422.629000000015</v>
      </c>
      <c r="L74" s="48"/>
      <c r="M74" s="107">
        <f t="shared" ref="M74" si="85">F74</f>
        <v>237660.24400000001</v>
      </c>
      <c r="N74" s="56">
        <f t="shared" ref="N74" si="86">J74</f>
        <v>75288.367999999988</v>
      </c>
      <c r="O74" s="108">
        <f t="shared" ref="O74" si="87">M74+N74</f>
        <v>312948.61199999996</v>
      </c>
      <c r="P74" s="37"/>
      <c r="Q74" s="37"/>
      <c r="R74" s="120"/>
    </row>
    <row r="75" spans="2:18" s="38" customFormat="1" ht="24.95" customHeight="1" x14ac:dyDescent="0.3">
      <c r="B75" s="71">
        <v>2015</v>
      </c>
      <c r="C75" s="72" t="s">
        <v>33</v>
      </c>
      <c r="D75" s="96">
        <f>D33+D54</f>
        <v>411389.86100000003</v>
      </c>
      <c r="E75" s="68">
        <f t="shared" ref="E75:F77" si="88">E33+E54</f>
        <v>330353.94500000001</v>
      </c>
      <c r="F75" s="68">
        <f t="shared" si="88"/>
        <v>263745.42500000005</v>
      </c>
      <c r="G75" s="69">
        <f t="shared" ref="G75:G76" si="89">E75-F75</f>
        <v>66608.51999999996</v>
      </c>
      <c r="H75" s="70">
        <f t="shared" ref="H75:J75" si="90">H33+H54</f>
        <v>160209.639</v>
      </c>
      <c r="I75" s="96">
        <f t="shared" si="90"/>
        <v>95434.396000000008</v>
      </c>
      <c r="J75" s="96">
        <f t="shared" si="90"/>
        <v>41761.933000000005</v>
      </c>
      <c r="K75" s="69">
        <f t="shared" ref="K75:K76" si="91">I75-J75</f>
        <v>53672.463000000003</v>
      </c>
      <c r="L75" s="48"/>
      <c r="M75" s="105">
        <f t="shared" ref="M75" si="92">F75</f>
        <v>263745.42500000005</v>
      </c>
      <c r="N75" s="93">
        <f t="shared" ref="N75" si="93">J75</f>
        <v>41761.933000000005</v>
      </c>
      <c r="O75" s="106">
        <f t="shared" ref="O75" si="94">M75+N75</f>
        <v>305507.35800000007</v>
      </c>
      <c r="P75" s="37"/>
      <c r="Q75" s="37"/>
      <c r="R75" s="120"/>
    </row>
    <row r="76" spans="2:18" s="38" customFormat="1" ht="24.95" customHeight="1" x14ac:dyDescent="0.3">
      <c r="B76" s="50">
        <v>2016</v>
      </c>
      <c r="C76" s="65" t="s">
        <v>25</v>
      </c>
      <c r="D76" s="55">
        <f>D34+D55</f>
        <v>423438.72700000001</v>
      </c>
      <c r="E76" s="53">
        <f t="shared" si="88"/>
        <v>423438.72700000001</v>
      </c>
      <c r="F76" s="53">
        <f t="shared" si="88"/>
        <v>251325.06499999997</v>
      </c>
      <c r="G76" s="54">
        <f t="shared" si="89"/>
        <v>172113.66200000004</v>
      </c>
      <c r="H76" s="52">
        <f t="shared" ref="H76:J77" si="95">H34+H55</f>
        <v>148160.77299999999</v>
      </c>
      <c r="I76" s="55">
        <f t="shared" si="95"/>
        <v>148160.77299999999</v>
      </c>
      <c r="J76" s="55">
        <f t="shared" si="95"/>
        <v>54669.03</v>
      </c>
      <c r="K76" s="54">
        <f t="shared" si="91"/>
        <v>93491.742999999988</v>
      </c>
      <c r="L76" s="48"/>
      <c r="M76" s="107">
        <f t="shared" ref="M76" si="96">F76</f>
        <v>251325.06499999997</v>
      </c>
      <c r="N76" s="56">
        <f t="shared" ref="N76" si="97">J76</f>
        <v>54669.03</v>
      </c>
      <c r="O76" s="108">
        <f t="shared" ref="O76" si="98">M76+N76</f>
        <v>305994.09499999997</v>
      </c>
      <c r="P76" s="37"/>
      <c r="Q76" s="37"/>
      <c r="R76" s="120"/>
    </row>
    <row r="77" spans="2:18" s="38" customFormat="1" ht="24.75" customHeight="1" x14ac:dyDescent="0.3">
      <c r="B77" s="71">
        <v>2017</v>
      </c>
      <c r="C77" s="87" t="s">
        <v>48</v>
      </c>
      <c r="D77" s="96">
        <f>D35+D56</f>
        <v>421243</v>
      </c>
      <c r="E77" s="68">
        <f t="shared" si="88"/>
        <v>407107.70400000003</v>
      </c>
      <c r="F77" s="68">
        <f t="shared" si="88"/>
        <v>285732.50599999999</v>
      </c>
      <c r="G77" s="69">
        <f t="shared" ref="G77" si="99">E77-F77</f>
        <v>121375.19800000003</v>
      </c>
      <c r="H77" s="70">
        <f t="shared" si="95"/>
        <v>150356</v>
      </c>
      <c r="I77" s="96">
        <f t="shared" si="95"/>
        <v>148364</v>
      </c>
      <c r="J77" s="96">
        <f t="shared" si="95"/>
        <v>74119.466</v>
      </c>
      <c r="K77" s="69">
        <f t="shared" ref="K77" si="100">I77-J77</f>
        <v>74244.534</v>
      </c>
      <c r="L77" s="48"/>
      <c r="M77" s="105">
        <f t="shared" ref="M77" si="101">F77</f>
        <v>285732.50599999999</v>
      </c>
      <c r="N77" s="93">
        <f t="shared" ref="N77" si="102">J77</f>
        <v>74119.466</v>
      </c>
      <c r="O77" s="106">
        <f t="shared" ref="O77" si="103">M77+N77</f>
        <v>359851.97200000001</v>
      </c>
      <c r="P77" s="37"/>
      <c r="Q77" s="37"/>
      <c r="R77" s="120"/>
    </row>
    <row r="78" spans="2:18" s="38" customFormat="1" ht="24.75" customHeight="1" x14ac:dyDescent="0.3">
      <c r="B78" s="50">
        <v>2018</v>
      </c>
      <c r="C78" s="65" t="s">
        <v>49</v>
      </c>
      <c r="D78" s="55">
        <f t="shared" ref="D78:F78" si="104">D36+D57</f>
        <v>419485</v>
      </c>
      <c r="E78" s="53">
        <f t="shared" si="104"/>
        <v>383164</v>
      </c>
      <c r="F78" s="53">
        <f t="shared" si="104"/>
        <v>267190</v>
      </c>
      <c r="G78" s="54">
        <f t="shared" ref="G78:G79" si="105">E78-F78</f>
        <v>115974</v>
      </c>
      <c r="H78" s="52">
        <f t="shared" ref="H78:J78" si="106">H36+H57</f>
        <v>152114</v>
      </c>
      <c r="I78" s="55">
        <f t="shared" si="106"/>
        <v>147909</v>
      </c>
      <c r="J78" s="55">
        <f t="shared" si="106"/>
        <v>83950</v>
      </c>
      <c r="K78" s="54">
        <f t="shared" ref="K78:K79" si="107">I78-J78</f>
        <v>63959</v>
      </c>
      <c r="L78" s="48"/>
      <c r="M78" s="107">
        <f t="shared" ref="M78:M79" si="108">F78</f>
        <v>267190</v>
      </c>
      <c r="N78" s="56">
        <f t="shared" ref="N78:N79" si="109">J78</f>
        <v>83950</v>
      </c>
      <c r="O78" s="108">
        <f t="shared" ref="O78:O79" si="110">M78+N78</f>
        <v>351140</v>
      </c>
      <c r="P78" s="37"/>
      <c r="Q78" s="37"/>
      <c r="R78" s="120"/>
    </row>
    <row r="79" spans="2:18" s="38" customFormat="1" ht="24.75" customHeight="1" x14ac:dyDescent="0.3">
      <c r="B79" s="71">
        <v>2019</v>
      </c>
      <c r="C79" s="87" t="s">
        <v>25</v>
      </c>
      <c r="D79" s="96">
        <f t="shared" ref="D79:F79" si="111">D37+D58</f>
        <v>397304.53500000003</v>
      </c>
      <c r="E79" s="68">
        <f t="shared" si="111"/>
        <v>397304.53500000003</v>
      </c>
      <c r="F79" s="68">
        <f t="shared" si="111"/>
        <v>265291.53699999995</v>
      </c>
      <c r="G79" s="69">
        <f t="shared" si="105"/>
        <v>132012.99800000008</v>
      </c>
      <c r="H79" s="70">
        <f t="shared" ref="H79:J79" si="112">H37+H58</f>
        <v>174294.96500000003</v>
      </c>
      <c r="I79" s="96">
        <f t="shared" si="112"/>
        <v>174294.96500000003</v>
      </c>
      <c r="J79" s="96">
        <f t="shared" si="112"/>
        <v>73728.097999999998</v>
      </c>
      <c r="K79" s="69">
        <f t="shared" si="107"/>
        <v>100566.86700000003</v>
      </c>
      <c r="L79" s="48"/>
      <c r="M79" s="105">
        <f t="shared" si="108"/>
        <v>265291.53699999995</v>
      </c>
      <c r="N79" s="93">
        <f t="shared" si="109"/>
        <v>73728.097999999998</v>
      </c>
      <c r="O79" s="106">
        <f t="shared" si="110"/>
        <v>339019.63499999995</v>
      </c>
      <c r="P79" s="37"/>
      <c r="Q79" s="37"/>
      <c r="R79" s="120"/>
    </row>
    <row r="80" spans="2:18" s="38" customFormat="1" ht="24.75" customHeight="1" x14ac:dyDescent="0.3">
      <c r="B80" s="131">
        <v>2020</v>
      </c>
      <c r="C80" s="132" t="s">
        <v>61</v>
      </c>
      <c r="D80" s="55">
        <f t="shared" ref="D80:F80" si="113">D38+D59</f>
        <v>396834.40100000001</v>
      </c>
      <c r="E80" s="53">
        <f t="shared" si="113"/>
        <v>372309.875</v>
      </c>
      <c r="F80" s="53">
        <f t="shared" si="113"/>
        <v>244772.93299999996</v>
      </c>
      <c r="G80" s="54">
        <f t="shared" ref="G80:G81" si="114">E80-F80</f>
        <v>127536.94200000004</v>
      </c>
      <c r="H80" s="52">
        <f t="shared" ref="H80:J80" si="115">H38+H59</f>
        <v>174765.09899999999</v>
      </c>
      <c r="I80" s="55">
        <f t="shared" si="115"/>
        <v>169495.37299999999</v>
      </c>
      <c r="J80" s="55">
        <f t="shared" si="115"/>
        <v>97684.34</v>
      </c>
      <c r="K80" s="54">
        <f t="shared" ref="K80:K81" si="116">I80-J80</f>
        <v>71811.032999999996</v>
      </c>
      <c r="L80" s="48"/>
      <c r="M80" s="107">
        <f t="shared" ref="M80:M81" si="117">F80</f>
        <v>244772.93299999996</v>
      </c>
      <c r="N80" s="56">
        <f t="shared" ref="N80:N81" si="118">J80</f>
        <v>97684.34</v>
      </c>
      <c r="O80" s="108">
        <f t="shared" ref="O80:O81" si="119">M80+N80</f>
        <v>342457.27299999993</v>
      </c>
      <c r="P80" s="37"/>
      <c r="Q80" s="37"/>
      <c r="R80" s="120"/>
    </row>
    <row r="81" spans="2:18" s="38" customFormat="1" ht="24.75" customHeight="1" x14ac:dyDescent="0.3">
      <c r="B81" s="71">
        <v>2021</v>
      </c>
      <c r="C81" s="87" t="s">
        <v>67</v>
      </c>
      <c r="D81" s="96">
        <f t="shared" ref="D81:F81" si="120">D39+D60</f>
        <v>392160.45</v>
      </c>
      <c r="E81" s="68">
        <f t="shared" si="120"/>
        <v>370010.58199999999</v>
      </c>
      <c r="F81" s="68">
        <f t="shared" si="120"/>
        <v>232324.73900000003</v>
      </c>
      <c r="G81" s="69">
        <f t="shared" si="114"/>
        <v>137685.84299999996</v>
      </c>
      <c r="H81" s="70">
        <f t="shared" ref="H81:J81" si="121">H39+H60</f>
        <v>179439.05</v>
      </c>
      <c r="I81" s="96">
        <f t="shared" si="121"/>
        <v>174355.47600000002</v>
      </c>
      <c r="J81" s="96">
        <f t="shared" si="121"/>
        <v>74283.284</v>
      </c>
      <c r="K81" s="69">
        <f t="shared" si="116"/>
        <v>100072.19200000002</v>
      </c>
      <c r="L81" s="48"/>
      <c r="M81" s="105">
        <f t="shared" si="117"/>
        <v>232324.73900000003</v>
      </c>
      <c r="N81" s="93">
        <f t="shared" si="118"/>
        <v>74283.284</v>
      </c>
      <c r="O81" s="106">
        <f t="shared" si="119"/>
        <v>306608.02300000004</v>
      </c>
      <c r="P81" s="37"/>
      <c r="Q81" s="37"/>
      <c r="R81" s="120"/>
    </row>
    <row r="82" spans="2:18" s="38" customFormat="1" ht="24.75" customHeight="1" x14ac:dyDescent="0.3">
      <c r="B82" s="131">
        <v>2022</v>
      </c>
      <c r="C82" s="132" t="s">
        <v>68</v>
      </c>
      <c r="D82" s="55">
        <f t="shared" ref="D82:F82" si="122">D40+D61</f>
        <v>393834.951</v>
      </c>
      <c r="E82" s="53">
        <f t="shared" si="122"/>
        <v>290050.32800000004</v>
      </c>
      <c r="F82" s="53">
        <f t="shared" si="122"/>
        <v>255849.185</v>
      </c>
      <c r="G82" s="54">
        <f t="shared" ref="G82:G83" si="123">E82-F82</f>
        <v>34201.14300000004</v>
      </c>
      <c r="H82" s="52">
        <f t="shared" ref="H82:J82" si="124">H40+H61</f>
        <v>177764.549</v>
      </c>
      <c r="I82" s="55">
        <f t="shared" si="124"/>
        <v>153506.21</v>
      </c>
      <c r="J82" s="55">
        <f t="shared" si="124"/>
        <v>111023.973</v>
      </c>
      <c r="K82" s="54">
        <f t="shared" ref="K82:K83" si="125">I82-J82</f>
        <v>42482.236999999994</v>
      </c>
      <c r="L82" s="48"/>
      <c r="M82" s="107">
        <f t="shared" ref="M82:M83" si="126">F82</f>
        <v>255849.185</v>
      </c>
      <c r="N82" s="56">
        <f t="shared" ref="N82:N83" si="127">J82</f>
        <v>111023.973</v>
      </c>
      <c r="O82" s="108">
        <f t="shared" ref="O82:O83" si="128">M82+N82</f>
        <v>366873.158</v>
      </c>
      <c r="P82" s="37"/>
      <c r="Q82" s="37"/>
      <c r="R82" s="120"/>
    </row>
    <row r="83" spans="2:18" s="38" customFormat="1" ht="24.75" customHeight="1" x14ac:dyDescent="0.3">
      <c r="B83" s="71">
        <v>2023</v>
      </c>
      <c r="C83" s="87" t="s">
        <v>69</v>
      </c>
      <c r="D83" s="96">
        <f t="shared" ref="D83:F83" si="129">D41+D62</f>
        <v>385271.39799999999</v>
      </c>
      <c r="E83" s="68">
        <f t="shared" si="129"/>
        <v>248191.652</v>
      </c>
      <c r="F83" s="68">
        <f t="shared" si="129"/>
        <v>230221.60000000003</v>
      </c>
      <c r="G83" s="69">
        <f t="shared" si="123"/>
        <v>17970.051999999967</v>
      </c>
      <c r="H83" s="70">
        <f t="shared" ref="H83:J83" si="130">H41+H62</f>
        <v>186328.10200000001</v>
      </c>
      <c r="I83" s="96">
        <f t="shared" si="130"/>
        <v>114609.492</v>
      </c>
      <c r="J83" s="96">
        <f t="shared" si="130"/>
        <v>69764.98</v>
      </c>
      <c r="K83" s="69">
        <f t="shared" si="125"/>
        <v>44844.512000000002</v>
      </c>
      <c r="L83" s="48"/>
      <c r="M83" s="105">
        <f t="shared" si="126"/>
        <v>230221.60000000003</v>
      </c>
      <c r="N83" s="93">
        <f t="shared" si="127"/>
        <v>69764.98</v>
      </c>
      <c r="O83" s="106">
        <f t="shared" si="128"/>
        <v>299986.58</v>
      </c>
      <c r="P83" s="37"/>
      <c r="Q83" s="37"/>
      <c r="R83" s="120"/>
    </row>
    <row r="84" spans="2:18" s="38" customFormat="1" ht="24.75" customHeight="1" x14ac:dyDescent="0.3">
      <c r="B84" s="133"/>
      <c r="C84" s="137"/>
      <c r="D84" s="135"/>
      <c r="E84" s="135"/>
      <c r="F84" s="135"/>
      <c r="G84" s="135"/>
      <c r="H84" s="135"/>
      <c r="I84" s="135"/>
      <c r="J84" s="135"/>
      <c r="K84" s="135"/>
      <c r="L84" s="48"/>
      <c r="M84" s="138"/>
      <c r="N84" s="138"/>
      <c r="O84" s="138"/>
      <c r="P84" s="37"/>
      <c r="Q84" s="37"/>
      <c r="R84" s="37"/>
    </row>
    <row r="85" spans="2:18" s="38" customFormat="1" ht="24.95" customHeight="1" thickBot="1" x14ac:dyDescent="0.35">
      <c r="B85" s="61"/>
      <c r="M85" s="62"/>
      <c r="N85" s="62"/>
      <c r="O85" s="62"/>
    </row>
    <row r="86" spans="2:18" ht="24.95" customHeight="1" thickBot="1" x14ac:dyDescent="0.3">
      <c r="B86" s="191" t="s">
        <v>43</v>
      </c>
      <c r="C86" s="192"/>
      <c r="D86" s="192"/>
      <c r="E86" s="192"/>
      <c r="F86" s="192"/>
      <c r="G86" s="192"/>
      <c r="H86" s="192"/>
      <c r="I86" s="192"/>
      <c r="J86" s="192"/>
      <c r="K86" s="193"/>
      <c r="M86" s="62"/>
      <c r="N86" s="62"/>
      <c r="O86" s="62"/>
    </row>
    <row r="87" spans="2:18" s="38" customFormat="1" ht="24.95" customHeight="1" thickBot="1" x14ac:dyDescent="0.35">
      <c r="B87" s="197" t="s">
        <v>0</v>
      </c>
      <c r="C87" s="197" t="s">
        <v>21</v>
      </c>
      <c r="D87" s="199" t="s">
        <v>31</v>
      </c>
      <c r="E87" s="200"/>
      <c r="F87" s="200"/>
      <c r="G87" s="201"/>
      <c r="H87" s="200" t="s">
        <v>32</v>
      </c>
      <c r="I87" s="200"/>
      <c r="J87" s="200"/>
      <c r="K87" s="201"/>
      <c r="L87" s="48"/>
      <c r="M87" s="188" t="s">
        <v>44</v>
      </c>
      <c r="N87" s="189"/>
      <c r="O87" s="190"/>
    </row>
    <row r="88" spans="2:18" s="38" customFormat="1" ht="24.95" customHeight="1" thickBot="1" x14ac:dyDescent="0.35">
      <c r="B88" s="198"/>
      <c r="C88" s="198"/>
      <c r="D88" s="39" t="s">
        <v>17</v>
      </c>
      <c r="E88" s="40" t="s">
        <v>30</v>
      </c>
      <c r="F88" s="40" t="s">
        <v>12</v>
      </c>
      <c r="G88" s="41" t="s">
        <v>20</v>
      </c>
      <c r="H88" s="39" t="s">
        <v>17</v>
      </c>
      <c r="I88" s="40" t="s">
        <v>30</v>
      </c>
      <c r="J88" s="40" t="s">
        <v>12</v>
      </c>
      <c r="K88" s="41" t="s">
        <v>20</v>
      </c>
      <c r="L88" s="48"/>
      <c r="M88" s="117" t="s">
        <v>17</v>
      </c>
      <c r="N88" s="118" t="s">
        <v>40</v>
      </c>
      <c r="O88" s="119" t="s">
        <v>12</v>
      </c>
      <c r="P88" s="37"/>
      <c r="Q88" s="37"/>
      <c r="R88" s="37"/>
    </row>
    <row r="89" spans="2:18" s="38" customFormat="1" ht="24.95" customHeight="1" x14ac:dyDescent="0.3">
      <c r="B89" s="42">
        <v>2008</v>
      </c>
      <c r="C89" s="63" t="s">
        <v>23</v>
      </c>
      <c r="D89" s="47">
        <f t="shared" ref="D89:D104" si="131">D26+H26</f>
        <v>469159.73300000001</v>
      </c>
      <c r="E89" s="45">
        <f t="shared" ref="E89:E104" si="132">E26+I26</f>
        <v>461657.31300000002</v>
      </c>
      <c r="F89" s="45">
        <f t="shared" ref="F89:F104" si="133">F26+J26</f>
        <v>339569</v>
      </c>
      <c r="G89" s="46">
        <f>E89-F89</f>
        <v>122088.31300000002</v>
      </c>
      <c r="H89" s="44">
        <f t="shared" ref="H89:H104" si="134">D47+H47</f>
        <v>102439.76699999999</v>
      </c>
      <c r="I89" s="45">
        <f t="shared" ref="I89:I104" si="135">E47+I47</f>
        <v>102439.76699999999</v>
      </c>
      <c r="J89" s="45">
        <f t="shared" ref="J89:J104" si="136">F47+J47</f>
        <v>68609</v>
      </c>
      <c r="K89" s="46">
        <f t="shared" ref="K89:K95" si="137">I89-J89</f>
        <v>33830.766999999993</v>
      </c>
      <c r="L89" s="48"/>
      <c r="M89" s="103">
        <f>F89</f>
        <v>339569</v>
      </c>
      <c r="N89" s="49">
        <f>J89</f>
        <v>68609</v>
      </c>
      <c r="O89" s="104">
        <f>M89+N89</f>
        <v>408178</v>
      </c>
      <c r="P89" s="37"/>
      <c r="Q89" s="37"/>
      <c r="R89" s="37"/>
    </row>
    <row r="90" spans="2:18" s="38" customFormat="1" ht="24.95" customHeight="1" x14ac:dyDescent="0.3">
      <c r="B90" s="71">
        <v>2009</v>
      </c>
      <c r="C90" s="72" t="s">
        <v>24</v>
      </c>
      <c r="D90" s="96">
        <f t="shared" si="131"/>
        <v>481679.60900000005</v>
      </c>
      <c r="E90" s="68">
        <f t="shared" si="132"/>
        <v>424882.674</v>
      </c>
      <c r="F90" s="68">
        <f t="shared" si="133"/>
        <v>313537</v>
      </c>
      <c r="G90" s="69">
        <f t="shared" ref="G90:G94" si="138">E90-F90</f>
        <v>111345.674</v>
      </c>
      <c r="H90" s="70">
        <f t="shared" si="134"/>
        <v>89919.891000000003</v>
      </c>
      <c r="I90" s="96">
        <f t="shared" si="135"/>
        <v>89919.891000000003</v>
      </c>
      <c r="J90" s="96">
        <f t="shared" si="136"/>
        <v>63718</v>
      </c>
      <c r="K90" s="69">
        <f t="shared" si="137"/>
        <v>26201.891000000003</v>
      </c>
      <c r="L90" s="48"/>
      <c r="M90" s="105">
        <f t="shared" ref="M90:M95" si="139">F90</f>
        <v>313537</v>
      </c>
      <c r="N90" s="93">
        <f t="shared" ref="N90:N95" si="140">J90</f>
        <v>63718</v>
      </c>
      <c r="O90" s="106">
        <f t="shared" ref="O90:O95" si="141">M90+N90</f>
        <v>377255</v>
      </c>
      <c r="P90" s="37"/>
      <c r="Q90" s="37"/>
      <c r="R90" s="37"/>
    </row>
    <row r="91" spans="2:18" s="38" customFormat="1" ht="24.95" customHeight="1" x14ac:dyDescent="0.3">
      <c r="B91" s="50">
        <v>2010</v>
      </c>
      <c r="C91" s="65" t="s">
        <v>25</v>
      </c>
      <c r="D91" s="55">
        <f t="shared" si="131"/>
        <v>483809.21499999997</v>
      </c>
      <c r="E91" s="53">
        <f t="shared" si="132"/>
        <v>483809.21499999997</v>
      </c>
      <c r="F91" s="53">
        <f t="shared" si="133"/>
        <v>311869</v>
      </c>
      <c r="G91" s="54">
        <f t="shared" si="138"/>
        <v>171940.21499999997</v>
      </c>
      <c r="H91" s="52">
        <f t="shared" si="134"/>
        <v>87790.285000000003</v>
      </c>
      <c r="I91" s="55">
        <f t="shared" si="135"/>
        <v>87790.285000000003</v>
      </c>
      <c r="J91" s="55">
        <f t="shared" si="136"/>
        <v>42212</v>
      </c>
      <c r="K91" s="54">
        <f t="shared" si="137"/>
        <v>45578.285000000003</v>
      </c>
      <c r="L91" s="48"/>
      <c r="M91" s="107">
        <f t="shared" si="139"/>
        <v>311869</v>
      </c>
      <c r="N91" s="56">
        <f t="shared" si="140"/>
        <v>42212</v>
      </c>
      <c r="O91" s="108">
        <f t="shared" si="141"/>
        <v>354081</v>
      </c>
      <c r="P91" s="37"/>
      <c r="Q91" s="37"/>
      <c r="R91" s="37"/>
    </row>
    <row r="92" spans="2:18" s="38" customFormat="1" ht="24.95" customHeight="1" x14ac:dyDescent="0.3">
      <c r="B92" s="71">
        <v>2011</v>
      </c>
      <c r="C92" s="72" t="s">
        <v>26</v>
      </c>
      <c r="D92" s="96">
        <f t="shared" si="131"/>
        <v>481638.935</v>
      </c>
      <c r="E92" s="68">
        <f t="shared" si="132"/>
        <v>389229.51300000004</v>
      </c>
      <c r="F92" s="68">
        <f t="shared" si="133"/>
        <v>335444</v>
      </c>
      <c r="G92" s="69">
        <f t="shared" si="138"/>
        <v>53785.513000000035</v>
      </c>
      <c r="H92" s="70">
        <f t="shared" si="134"/>
        <v>89960.565000000002</v>
      </c>
      <c r="I92" s="96">
        <f t="shared" si="135"/>
        <v>87622.303</v>
      </c>
      <c r="J92" s="96">
        <f t="shared" si="136"/>
        <v>73184</v>
      </c>
      <c r="K92" s="69">
        <f t="shared" si="137"/>
        <v>14438.303</v>
      </c>
      <c r="L92" s="48"/>
      <c r="M92" s="105">
        <f t="shared" si="139"/>
        <v>335444</v>
      </c>
      <c r="N92" s="93">
        <f t="shared" si="140"/>
        <v>73184</v>
      </c>
      <c r="O92" s="106">
        <f t="shared" si="141"/>
        <v>408628</v>
      </c>
      <c r="P92" s="37"/>
      <c r="Q92" s="37"/>
      <c r="R92" s="37"/>
    </row>
    <row r="93" spans="2:18" s="38" customFormat="1" ht="24.95" customHeight="1" x14ac:dyDescent="0.3">
      <c r="B93" s="50">
        <v>2012</v>
      </c>
      <c r="C93" s="64" t="s">
        <v>27</v>
      </c>
      <c r="D93" s="55">
        <f t="shared" si="131"/>
        <v>481679.60900000005</v>
      </c>
      <c r="E93" s="53">
        <f t="shared" si="132"/>
        <v>373857.37</v>
      </c>
      <c r="F93" s="53">
        <f t="shared" si="133"/>
        <v>317332</v>
      </c>
      <c r="G93" s="54">
        <f t="shared" si="138"/>
        <v>56525.369999999995</v>
      </c>
      <c r="H93" s="52">
        <f t="shared" si="134"/>
        <v>89919.891000000003</v>
      </c>
      <c r="I93" s="53">
        <f t="shared" si="135"/>
        <v>74279.031000000003</v>
      </c>
      <c r="J93" s="53">
        <f t="shared" si="136"/>
        <v>53661</v>
      </c>
      <c r="K93" s="54">
        <f t="shared" si="137"/>
        <v>20618.031000000003</v>
      </c>
      <c r="L93" s="48"/>
      <c r="M93" s="107">
        <f t="shared" si="139"/>
        <v>317332</v>
      </c>
      <c r="N93" s="56">
        <f t="shared" si="140"/>
        <v>53661</v>
      </c>
      <c r="O93" s="108">
        <f t="shared" si="141"/>
        <v>370993</v>
      </c>
      <c r="P93" s="37"/>
      <c r="Q93" s="37"/>
      <c r="R93" s="37"/>
    </row>
    <row r="94" spans="2:18" s="38" customFormat="1" ht="24.95" customHeight="1" x14ac:dyDescent="0.3">
      <c r="B94" s="71">
        <v>2013</v>
      </c>
      <c r="C94" s="72" t="s">
        <v>28</v>
      </c>
      <c r="D94" s="96">
        <f t="shared" si="131"/>
        <v>480886.44999999995</v>
      </c>
      <c r="E94" s="68">
        <f t="shared" si="132"/>
        <v>342018.14200000005</v>
      </c>
      <c r="F94" s="68">
        <f t="shared" si="133"/>
        <v>295710</v>
      </c>
      <c r="G94" s="69">
        <f t="shared" si="138"/>
        <v>46308.142000000051</v>
      </c>
      <c r="H94" s="70">
        <f t="shared" si="134"/>
        <v>90713.05</v>
      </c>
      <c r="I94" s="96">
        <f t="shared" si="135"/>
        <v>52807.964999999997</v>
      </c>
      <c r="J94" s="96">
        <f t="shared" si="136"/>
        <v>40924</v>
      </c>
      <c r="K94" s="69">
        <f t="shared" si="137"/>
        <v>11883.964999999997</v>
      </c>
      <c r="L94" s="48"/>
      <c r="M94" s="105">
        <f t="shared" si="139"/>
        <v>295710</v>
      </c>
      <c r="N94" s="93">
        <f t="shared" si="140"/>
        <v>40924</v>
      </c>
      <c r="O94" s="106">
        <f t="shared" si="141"/>
        <v>336634</v>
      </c>
      <c r="P94" s="37"/>
      <c r="Q94" s="37"/>
      <c r="R94" s="37"/>
    </row>
    <row r="95" spans="2:18" s="38" customFormat="1" ht="24.95" customHeight="1" x14ac:dyDescent="0.3">
      <c r="B95" s="50">
        <v>2014</v>
      </c>
      <c r="C95" s="64" t="s">
        <v>29</v>
      </c>
      <c r="D95" s="55">
        <f t="shared" si="131"/>
        <v>480722.45200000005</v>
      </c>
      <c r="E95" s="53">
        <f t="shared" si="132"/>
        <v>312600.34999999998</v>
      </c>
      <c r="F95" s="53">
        <f t="shared" si="133"/>
        <v>274082.24400000001</v>
      </c>
      <c r="G95" s="54">
        <f>E95-F95</f>
        <v>38518.105999999971</v>
      </c>
      <c r="H95" s="52">
        <f t="shared" si="134"/>
        <v>90877.04800000001</v>
      </c>
      <c r="I95" s="55">
        <f t="shared" si="135"/>
        <v>50934.62</v>
      </c>
      <c r="J95" s="55">
        <f t="shared" si="136"/>
        <v>38866.367999999995</v>
      </c>
      <c r="K95" s="54">
        <f t="shared" si="137"/>
        <v>12068.252000000008</v>
      </c>
      <c r="L95" s="48"/>
      <c r="M95" s="107">
        <f t="shared" si="139"/>
        <v>274082.24400000001</v>
      </c>
      <c r="N95" s="56">
        <f t="shared" si="140"/>
        <v>38866.367999999995</v>
      </c>
      <c r="O95" s="108">
        <f t="shared" si="141"/>
        <v>312948.61200000002</v>
      </c>
      <c r="P95" s="37"/>
      <c r="Q95" s="37"/>
      <c r="R95" s="37"/>
    </row>
    <row r="96" spans="2:18" s="38" customFormat="1" ht="24.95" customHeight="1" x14ac:dyDescent="0.3">
      <c r="B96" s="71">
        <v>2015</v>
      </c>
      <c r="C96" s="72" t="s">
        <v>33</v>
      </c>
      <c r="D96" s="96">
        <f t="shared" si="131"/>
        <v>510485.57700000005</v>
      </c>
      <c r="E96" s="68">
        <f t="shared" si="132"/>
        <v>377133.19500000001</v>
      </c>
      <c r="F96" s="68">
        <f t="shared" si="133"/>
        <v>283137.22800000006</v>
      </c>
      <c r="G96" s="69">
        <f>E96-F96</f>
        <v>93995.966999999946</v>
      </c>
      <c r="H96" s="70">
        <f t="shared" si="134"/>
        <v>61113.923000000003</v>
      </c>
      <c r="I96" s="96">
        <f t="shared" si="135"/>
        <v>48655.146000000001</v>
      </c>
      <c r="J96" s="96">
        <f t="shared" si="136"/>
        <v>22370.13</v>
      </c>
      <c r="K96" s="69">
        <f t="shared" ref="K96" si="142">I96-J96</f>
        <v>26285.016</v>
      </c>
      <c r="L96" s="48"/>
      <c r="M96" s="105">
        <f t="shared" ref="M96" si="143">F96</f>
        <v>283137.22800000006</v>
      </c>
      <c r="N96" s="93">
        <f t="shared" ref="N96" si="144">J96</f>
        <v>22370.13</v>
      </c>
      <c r="O96" s="106">
        <f t="shared" ref="O96" si="145">M96+N96</f>
        <v>305507.35800000007</v>
      </c>
      <c r="P96" s="37"/>
      <c r="Q96" s="37"/>
      <c r="R96" s="37"/>
    </row>
    <row r="97" spans="2:18" s="38" customFormat="1" ht="24.95" customHeight="1" x14ac:dyDescent="0.3">
      <c r="B97" s="50">
        <v>2016</v>
      </c>
      <c r="C97" s="65" t="s">
        <v>25</v>
      </c>
      <c r="D97" s="55">
        <f t="shared" si="131"/>
        <v>494863.141</v>
      </c>
      <c r="E97" s="53">
        <f t="shared" si="132"/>
        <v>494863.141</v>
      </c>
      <c r="F97" s="53">
        <f t="shared" si="133"/>
        <v>274066.40499999997</v>
      </c>
      <c r="G97" s="54">
        <f>E97-F97</f>
        <v>220796.73600000003</v>
      </c>
      <c r="H97" s="52">
        <f t="shared" si="134"/>
        <v>76736.358999999997</v>
      </c>
      <c r="I97" s="53">
        <f t="shared" si="135"/>
        <v>76736.358999999997</v>
      </c>
      <c r="J97" s="53">
        <f t="shared" si="136"/>
        <v>31927.690000000002</v>
      </c>
      <c r="K97" s="54">
        <f t="shared" ref="K97" si="146">I97-J97</f>
        <v>44808.668999999994</v>
      </c>
      <c r="L97" s="48"/>
      <c r="M97" s="107">
        <f t="shared" ref="M97" si="147">F97</f>
        <v>274066.40499999997</v>
      </c>
      <c r="N97" s="56">
        <f t="shared" ref="N97" si="148">J97</f>
        <v>31927.690000000002</v>
      </c>
      <c r="O97" s="108">
        <f t="shared" ref="O97" si="149">M97+N97</f>
        <v>305994.09499999997</v>
      </c>
      <c r="P97" s="37"/>
      <c r="Q97" s="37"/>
      <c r="R97" s="37"/>
    </row>
    <row r="98" spans="2:18" s="38" customFormat="1" ht="24.95" customHeight="1" x14ac:dyDescent="0.3">
      <c r="B98" s="71">
        <v>2017</v>
      </c>
      <c r="C98" s="87" t="s">
        <v>48</v>
      </c>
      <c r="D98" s="96">
        <f t="shared" si="131"/>
        <v>492893</v>
      </c>
      <c r="E98" s="68">
        <f t="shared" si="132"/>
        <v>476765.70400000003</v>
      </c>
      <c r="F98" s="68">
        <f t="shared" si="133"/>
        <v>321007.51399999997</v>
      </c>
      <c r="G98" s="69">
        <f t="shared" ref="G98:G100" si="150">E98-F98</f>
        <v>155758.19000000006</v>
      </c>
      <c r="H98" s="70">
        <f t="shared" si="134"/>
        <v>78706</v>
      </c>
      <c r="I98" s="96">
        <f t="shared" si="135"/>
        <v>78706</v>
      </c>
      <c r="J98" s="96">
        <f t="shared" si="136"/>
        <v>38844.457999999999</v>
      </c>
      <c r="K98" s="69">
        <f t="shared" ref="K98:K100" si="151">I98-J98</f>
        <v>39861.542000000001</v>
      </c>
      <c r="L98" s="48"/>
      <c r="M98" s="105">
        <f t="shared" ref="M98:M100" si="152">F98</f>
        <v>321007.51399999997</v>
      </c>
      <c r="N98" s="93">
        <f t="shared" ref="N98:N100" si="153">J98</f>
        <v>38844.457999999999</v>
      </c>
      <c r="O98" s="106">
        <f t="shared" ref="O98:O100" si="154">M98+N98</f>
        <v>359851.97199999995</v>
      </c>
      <c r="P98" s="37"/>
      <c r="Q98" s="37"/>
      <c r="R98" s="37"/>
    </row>
    <row r="99" spans="2:18" s="38" customFormat="1" ht="24.95" customHeight="1" x14ac:dyDescent="0.3">
      <c r="B99" s="50">
        <v>2018</v>
      </c>
      <c r="C99" s="65" t="s">
        <v>49</v>
      </c>
      <c r="D99" s="55">
        <f t="shared" si="131"/>
        <v>493244</v>
      </c>
      <c r="E99" s="53">
        <f t="shared" si="132"/>
        <v>452718</v>
      </c>
      <c r="F99" s="53">
        <f t="shared" si="133"/>
        <v>301253</v>
      </c>
      <c r="G99" s="54">
        <f t="shared" si="150"/>
        <v>151465</v>
      </c>
      <c r="H99" s="52">
        <f t="shared" si="134"/>
        <v>78355</v>
      </c>
      <c r="I99" s="55">
        <f t="shared" si="135"/>
        <v>78355</v>
      </c>
      <c r="J99" s="55">
        <f t="shared" si="136"/>
        <v>49887</v>
      </c>
      <c r="K99" s="54">
        <f t="shared" si="151"/>
        <v>28468</v>
      </c>
      <c r="L99" s="48"/>
      <c r="M99" s="107">
        <f t="shared" si="152"/>
        <v>301253</v>
      </c>
      <c r="N99" s="56">
        <f t="shared" si="153"/>
        <v>49887</v>
      </c>
      <c r="O99" s="108">
        <f t="shared" si="154"/>
        <v>351140</v>
      </c>
      <c r="P99" s="37"/>
      <c r="Q99" s="37"/>
      <c r="R99" s="37"/>
    </row>
    <row r="100" spans="2:18" s="38" customFormat="1" ht="24.95" customHeight="1" x14ac:dyDescent="0.3">
      <c r="B100" s="71">
        <v>2019</v>
      </c>
      <c r="C100" s="87" t="s">
        <v>25</v>
      </c>
      <c r="D100" s="96">
        <f t="shared" si="131"/>
        <v>479684.66200000001</v>
      </c>
      <c r="E100" s="68">
        <f t="shared" si="132"/>
        <v>479684.66200000001</v>
      </c>
      <c r="F100" s="68">
        <f t="shared" si="133"/>
        <v>297076.05099999998</v>
      </c>
      <c r="G100" s="69">
        <f t="shared" si="150"/>
        <v>182608.61100000003</v>
      </c>
      <c r="H100" s="70">
        <f t="shared" si="134"/>
        <v>91914.838000000003</v>
      </c>
      <c r="I100" s="96">
        <f t="shared" si="135"/>
        <v>91914.838000000003</v>
      </c>
      <c r="J100" s="96">
        <f t="shared" si="136"/>
        <v>41943.583999999995</v>
      </c>
      <c r="K100" s="69">
        <f t="shared" si="151"/>
        <v>49971.254000000008</v>
      </c>
      <c r="L100" s="48"/>
      <c r="M100" s="105">
        <f t="shared" si="152"/>
        <v>297076.05099999998</v>
      </c>
      <c r="N100" s="93">
        <f t="shared" si="153"/>
        <v>41943.583999999995</v>
      </c>
      <c r="O100" s="106">
        <f t="shared" si="154"/>
        <v>339019.63499999995</v>
      </c>
    </row>
    <row r="101" spans="2:18" s="38" customFormat="1" ht="24.95" customHeight="1" x14ac:dyDescent="0.3">
      <c r="B101" s="131">
        <v>2020</v>
      </c>
      <c r="C101" s="132" t="s">
        <v>61</v>
      </c>
      <c r="D101" s="55">
        <f t="shared" si="131"/>
        <v>479385.56099999999</v>
      </c>
      <c r="E101" s="53">
        <f t="shared" si="132"/>
        <v>449591.30900000001</v>
      </c>
      <c r="F101" s="53">
        <f t="shared" si="133"/>
        <v>285127.10299999994</v>
      </c>
      <c r="G101" s="54">
        <f t="shared" ref="G101:G102" si="155">E101-F101</f>
        <v>164464.20600000006</v>
      </c>
      <c r="H101" s="52">
        <f t="shared" si="134"/>
        <v>92213.938999999998</v>
      </c>
      <c r="I101" s="55">
        <f t="shared" si="135"/>
        <v>92213.938999999998</v>
      </c>
      <c r="J101" s="55">
        <f t="shared" si="136"/>
        <v>57330.170000000006</v>
      </c>
      <c r="K101" s="54">
        <f t="shared" ref="K101:K102" si="156">I101-J101</f>
        <v>34883.768999999993</v>
      </c>
      <c r="L101" s="48"/>
      <c r="M101" s="107">
        <f t="shared" ref="M101:M102" si="157">F101</f>
        <v>285127.10299999994</v>
      </c>
      <c r="N101" s="56">
        <f t="shared" ref="N101:N102" si="158">J101</f>
        <v>57330.170000000006</v>
      </c>
      <c r="O101" s="108">
        <f t="shared" ref="O101:O102" si="159">M101+N101</f>
        <v>342457.27299999993</v>
      </c>
      <c r="P101" s="37"/>
      <c r="Q101" s="37"/>
      <c r="R101" s="37"/>
    </row>
    <row r="102" spans="2:18" s="38" customFormat="1" ht="24.95" customHeight="1" x14ac:dyDescent="0.3">
      <c r="B102" s="71">
        <v>2021</v>
      </c>
      <c r="C102" s="87" t="s">
        <v>67</v>
      </c>
      <c r="D102" s="96">
        <f t="shared" si="131"/>
        <v>477758.375</v>
      </c>
      <c r="E102" s="68">
        <f t="shared" si="132"/>
        <v>450524.93299999996</v>
      </c>
      <c r="F102" s="68">
        <f t="shared" si="133"/>
        <v>261394.13400000002</v>
      </c>
      <c r="G102" s="69">
        <f t="shared" si="155"/>
        <v>189130.79899999994</v>
      </c>
      <c r="H102" s="70">
        <f t="shared" si="134"/>
        <v>93841.125</v>
      </c>
      <c r="I102" s="96">
        <f t="shared" si="135"/>
        <v>93841.125</v>
      </c>
      <c r="J102" s="96">
        <f t="shared" si="136"/>
        <v>45213.889000000003</v>
      </c>
      <c r="K102" s="69">
        <f t="shared" si="156"/>
        <v>48627.235999999997</v>
      </c>
      <c r="L102" s="48"/>
      <c r="M102" s="105">
        <f t="shared" si="157"/>
        <v>261394.13400000002</v>
      </c>
      <c r="N102" s="93">
        <f t="shared" si="158"/>
        <v>45213.889000000003</v>
      </c>
      <c r="O102" s="106">
        <f t="shared" si="159"/>
        <v>306608.02300000004</v>
      </c>
    </row>
    <row r="103" spans="2:18" s="38" customFormat="1" ht="24.95" customHeight="1" x14ac:dyDescent="0.3">
      <c r="B103" s="131">
        <v>2022</v>
      </c>
      <c r="C103" s="132" t="s">
        <v>68</v>
      </c>
      <c r="D103" s="55">
        <f t="shared" si="131"/>
        <v>479573.34399999998</v>
      </c>
      <c r="E103" s="53">
        <f t="shared" si="132"/>
        <v>357387.14</v>
      </c>
      <c r="F103" s="53">
        <f t="shared" si="133"/>
        <v>302151.15600000002</v>
      </c>
      <c r="G103" s="54">
        <f t="shared" ref="G103:G104" si="160">E103-F103</f>
        <v>55235.983999999997</v>
      </c>
      <c r="H103" s="52">
        <f t="shared" si="134"/>
        <v>92026.155999999988</v>
      </c>
      <c r="I103" s="55">
        <f t="shared" si="135"/>
        <v>86169.397999999986</v>
      </c>
      <c r="J103" s="55">
        <f t="shared" si="136"/>
        <v>64722.001999999993</v>
      </c>
      <c r="K103" s="54">
        <f t="shared" ref="K103:K104" si="161">I103-J103</f>
        <v>21447.395999999993</v>
      </c>
      <c r="L103" s="48"/>
      <c r="M103" s="107">
        <f t="shared" ref="M103:M104" si="162">F103</f>
        <v>302151.15600000002</v>
      </c>
      <c r="N103" s="56">
        <f t="shared" ref="N103:N104" si="163">J103</f>
        <v>64722.001999999993</v>
      </c>
      <c r="O103" s="108">
        <f t="shared" ref="O103:O104" si="164">M103+N103</f>
        <v>366873.158</v>
      </c>
    </row>
    <row r="104" spans="2:18" s="38" customFormat="1" ht="24.95" customHeight="1" x14ac:dyDescent="0.3">
      <c r="B104" s="71">
        <v>2023</v>
      </c>
      <c r="C104" s="87" t="s">
        <v>69</v>
      </c>
      <c r="D104" s="96">
        <f t="shared" si="131"/>
        <v>468015.13399999996</v>
      </c>
      <c r="E104" s="68">
        <f t="shared" si="132"/>
        <v>296737.02899999998</v>
      </c>
      <c r="F104" s="68">
        <f t="shared" si="133"/>
        <v>258465.30600000004</v>
      </c>
      <c r="G104" s="69">
        <f t="shared" si="160"/>
        <v>38271.72299999994</v>
      </c>
      <c r="H104" s="70">
        <f t="shared" si="134"/>
        <v>103584.36599999999</v>
      </c>
      <c r="I104" s="96">
        <f t="shared" si="135"/>
        <v>66064.115000000005</v>
      </c>
      <c r="J104" s="96">
        <f t="shared" si="136"/>
        <v>41521.273999999998</v>
      </c>
      <c r="K104" s="69">
        <f t="shared" si="161"/>
        <v>24542.841000000008</v>
      </c>
      <c r="L104" s="48"/>
      <c r="M104" s="105">
        <f t="shared" si="162"/>
        <v>258465.30600000004</v>
      </c>
      <c r="N104" s="93">
        <f t="shared" si="163"/>
        <v>41521.273999999998</v>
      </c>
      <c r="O104" s="106">
        <f t="shared" si="164"/>
        <v>299986.58</v>
      </c>
    </row>
    <row r="105" spans="2:18" s="38" customFormat="1" ht="24.95" customHeight="1" x14ac:dyDescent="0.3">
      <c r="B105" s="133"/>
      <c r="C105" s="137"/>
      <c r="D105" s="135"/>
      <c r="E105" s="135"/>
      <c r="F105" s="135"/>
      <c r="G105" s="135"/>
      <c r="H105" s="135"/>
      <c r="I105" s="135"/>
      <c r="J105" s="135"/>
      <c r="K105" s="135"/>
      <c r="L105" s="48"/>
      <c r="M105" s="138"/>
      <c r="N105" s="138"/>
      <c r="O105" s="138"/>
    </row>
    <row r="106" spans="2:18" ht="15.75" thickBot="1" x14ac:dyDescent="0.3">
      <c r="B106" s="67"/>
      <c r="C106" s="67"/>
      <c r="D106" s="66"/>
      <c r="E106" s="66"/>
      <c r="F106" s="66"/>
      <c r="G106" s="66"/>
      <c r="H106" s="66"/>
      <c r="I106" s="66"/>
    </row>
    <row r="107" spans="2:18" ht="30" customHeight="1" thickBot="1" x14ac:dyDescent="0.3">
      <c r="B107" s="194" t="s">
        <v>54</v>
      </c>
      <c r="C107" s="195"/>
      <c r="D107" s="195"/>
      <c r="E107" s="196"/>
      <c r="F107" s="66"/>
      <c r="G107" s="66"/>
    </row>
    <row r="108" spans="2:18" ht="30" customHeight="1" thickBot="1" x14ac:dyDescent="0.3">
      <c r="B108" s="73" t="s">
        <v>0</v>
      </c>
      <c r="C108" s="74" t="s">
        <v>47</v>
      </c>
      <c r="D108" s="74" t="s">
        <v>51</v>
      </c>
      <c r="E108" s="75" t="s">
        <v>50</v>
      </c>
    </row>
    <row r="109" spans="2:18" x14ac:dyDescent="0.25">
      <c r="B109" s="76">
        <v>2014</v>
      </c>
      <c r="C109" s="90">
        <v>57</v>
      </c>
      <c r="D109" s="77">
        <v>9.8589723523941917</v>
      </c>
      <c r="E109" s="78">
        <f t="shared" ref="E109:E117" si="165">D109/C109</f>
        <v>0.17296442723498581</v>
      </c>
      <c r="F109" s="66"/>
      <c r="G109" s="66"/>
    </row>
    <row r="110" spans="2:18" x14ac:dyDescent="0.25">
      <c r="B110" s="97">
        <v>2015</v>
      </c>
      <c r="C110" s="98">
        <v>108</v>
      </c>
      <c r="D110" s="99">
        <v>47.195850250574644</v>
      </c>
      <c r="E110" s="100">
        <f t="shared" si="165"/>
        <v>0.43699861343124669</v>
      </c>
      <c r="F110" s="66"/>
      <c r="G110" s="66"/>
    </row>
    <row r="111" spans="2:18" x14ac:dyDescent="0.25">
      <c r="B111" s="79">
        <v>2016</v>
      </c>
      <c r="C111" s="91">
        <v>124</v>
      </c>
      <c r="D111" s="80">
        <v>61.958152652592766</v>
      </c>
      <c r="E111" s="81">
        <f t="shared" si="165"/>
        <v>0.49966252139187717</v>
      </c>
      <c r="F111" s="66"/>
      <c r="G111" s="66"/>
    </row>
    <row r="112" spans="2:18" x14ac:dyDescent="0.25">
      <c r="B112" s="97">
        <v>2017</v>
      </c>
      <c r="C112" s="98">
        <v>128</v>
      </c>
      <c r="D112" s="99">
        <v>50.621599705616759</v>
      </c>
      <c r="E112" s="100">
        <f t="shared" si="165"/>
        <v>0.39548124770013093</v>
      </c>
      <c r="F112" s="66"/>
      <c r="G112" s="66"/>
    </row>
    <row r="113" spans="2:7" x14ac:dyDescent="0.25">
      <c r="B113" s="79">
        <v>2018</v>
      </c>
      <c r="C113" s="91">
        <v>134</v>
      </c>
      <c r="D113" s="80">
        <v>55.426000000000002</v>
      </c>
      <c r="E113" s="81">
        <f t="shared" si="165"/>
        <v>0.41362686567164181</v>
      </c>
      <c r="F113" s="66"/>
      <c r="G113" s="66"/>
    </row>
    <row r="114" spans="2:7" x14ac:dyDescent="0.25">
      <c r="B114" s="97">
        <v>2019</v>
      </c>
      <c r="C114" s="101">
        <v>169</v>
      </c>
      <c r="D114" s="102">
        <v>76.575000000000003</v>
      </c>
      <c r="E114" s="100">
        <f t="shared" si="165"/>
        <v>0.45310650887573967</v>
      </c>
      <c r="F114" s="66"/>
      <c r="G114" s="66"/>
    </row>
    <row r="115" spans="2:7" x14ac:dyDescent="0.25">
      <c r="B115" s="79">
        <v>2020</v>
      </c>
      <c r="C115" s="92">
        <v>194</v>
      </c>
      <c r="D115" s="142">
        <v>115.009</v>
      </c>
      <c r="E115" s="143">
        <f t="shared" si="165"/>
        <v>0.59282989690721655</v>
      </c>
      <c r="F115" s="66"/>
      <c r="G115" s="66"/>
    </row>
    <row r="116" spans="2:7" x14ac:dyDescent="0.25">
      <c r="B116" s="160">
        <v>2021</v>
      </c>
      <c r="C116" s="161">
        <v>225</v>
      </c>
      <c r="D116" s="162">
        <v>90.078999999999994</v>
      </c>
      <c r="E116" s="163">
        <f t="shared" si="165"/>
        <v>0.4003511111111111</v>
      </c>
    </row>
    <row r="117" spans="2:7" x14ac:dyDescent="0.25">
      <c r="B117" s="164">
        <v>2022</v>
      </c>
      <c r="C117" s="165">
        <v>236</v>
      </c>
      <c r="D117" s="166">
        <v>105.595</v>
      </c>
      <c r="E117" s="167">
        <f t="shared" si="165"/>
        <v>0.44743644067796612</v>
      </c>
      <c r="F117" s="66"/>
      <c r="G117" s="66"/>
    </row>
    <row r="118" spans="2:7" ht="15.75" thickBot="1" x14ac:dyDescent="0.3">
      <c r="B118" s="168">
        <v>2023</v>
      </c>
      <c r="C118" s="169">
        <v>234</v>
      </c>
      <c r="D118" s="170">
        <v>98.337999999999994</v>
      </c>
      <c r="E118" s="171">
        <f t="shared" ref="E118" si="166">D118/C118</f>
        <v>0.42024786324786323</v>
      </c>
    </row>
  </sheetData>
  <mergeCells count="28">
    <mergeCell ref="M24:O24"/>
    <mergeCell ref="M45:O45"/>
    <mergeCell ref="H45:K45"/>
    <mergeCell ref="B24:B25"/>
    <mergeCell ref="C24:C25"/>
    <mergeCell ref="B45:B46"/>
    <mergeCell ref="C45:C46"/>
    <mergeCell ref="B107:E107"/>
    <mergeCell ref="B65:K65"/>
    <mergeCell ref="D66:G66"/>
    <mergeCell ref="H66:K66"/>
    <mergeCell ref="B66:C67"/>
    <mergeCell ref="M66:O66"/>
    <mergeCell ref="B23:K23"/>
    <mergeCell ref="B2:G2"/>
    <mergeCell ref="B86:K86"/>
    <mergeCell ref="B87:B88"/>
    <mergeCell ref="C87:C88"/>
    <mergeCell ref="D87:G87"/>
    <mergeCell ref="H87:K87"/>
    <mergeCell ref="D3:G3"/>
    <mergeCell ref="B3:B4"/>
    <mergeCell ref="D24:G24"/>
    <mergeCell ref="H24:K24"/>
    <mergeCell ref="B44:K44"/>
    <mergeCell ref="M87:O87"/>
    <mergeCell ref="I2:J2"/>
    <mergeCell ref="D45:G45"/>
  </mergeCells>
  <printOptions horizontalCentered="1" verticalCentered="1"/>
  <pageMargins left="0" right="0" top="0.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2"/>
  <sheetViews>
    <sheetView workbookViewId="0">
      <selection activeCell="E12" sqref="E12"/>
    </sheetView>
  </sheetViews>
  <sheetFormatPr defaultColWidth="9.140625" defaultRowHeight="15" x14ac:dyDescent="0.25"/>
  <cols>
    <col min="2" max="9" width="18.7109375" customWidth="1"/>
    <col min="10" max="10" width="3.42578125" customWidth="1"/>
    <col min="11" max="12" width="18.7109375" customWidth="1"/>
    <col min="13" max="14" width="11.5703125" bestFit="1" customWidth="1"/>
    <col min="15" max="18" width="9" customWidth="1"/>
  </cols>
  <sheetData>
    <row r="1" spans="1:9" ht="15.75" thickBot="1" x14ac:dyDescent="0.3"/>
    <row r="2" spans="1:9" ht="15.75" thickBot="1" x14ac:dyDescent="0.3">
      <c r="B2" s="211" t="s">
        <v>31</v>
      </c>
      <c r="C2" s="212"/>
      <c r="D2" s="212"/>
      <c r="E2" s="213"/>
      <c r="F2" s="211" t="s">
        <v>32</v>
      </c>
      <c r="G2" s="212"/>
      <c r="H2" s="212"/>
      <c r="I2" s="213"/>
    </row>
    <row r="3" spans="1:9" ht="30.75" thickBot="1" x14ac:dyDescent="0.3">
      <c r="A3" s="1" t="s">
        <v>0</v>
      </c>
      <c r="B3" s="31" t="s">
        <v>35</v>
      </c>
      <c r="C3" s="32" t="s">
        <v>36</v>
      </c>
      <c r="D3" s="33" t="s">
        <v>37</v>
      </c>
      <c r="E3" s="34" t="s">
        <v>38</v>
      </c>
      <c r="F3" s="35" t="s">
        <v>35</v>
      </c>
      <c r="G3" s="32" t="s">
        <v>36</v>
      </c>
      <c r="H3" s="33" t="s">
        <v>37</v>
      </c>
      <c r="I3" s="34" t="s">
        <v>38</v>
      </c>
    </row>
    <row r="4" spans="1:9" x14ac:dyDescent="0.25">
      <c r="A4" s="1"/>
      <c r="B4" s="1"/>
      <c r="C4" s="29"/>
      <c r="D4" s="1"/>
      <c r="E4" s="29"/>
    </row>
    <row r="5" spans="1:9" x14ac:dyDescent="0.25">
      <c r="A5" s="2">
        <v>2008</v>
      </c>
      <c r="B5" s="3">
        <v>372670.70299999998</v>
      </c>
      <c r="C5" s="30">
        <v>366711.18400000001</v>
      </c>
      <c r="D5" s="3">
        <v>96489.03</v>
      </c>
      <c r="E5" s="30">
        <v>94946.129000000001</v>
      </c>
      <c r="F5" s="3">
        <v>6497.1350000000002</v>
      </c>
      <c r="G5" s="30">
        <v>6497.1350000000002</v>
      </c>
      <c r="H5" s="3">
        <v>95942.631999999998</v>
      </c>
      <c r="I5" s="30">
        <v>95942.631999999998</v>
      </c>
    </row>
    <row r="6" spans="1:9" x14ac:dyDescent="0.25">
      <c r="A6" s="2">
        <v>2009</v>
      </c>
      <c r="B6" s="3">
        <v>395184.20400000003</v>
      </c>
      <c r="C6" s="30">
        <v>348584.66600000003</v>
      </c>
      <c r="D6" s="3">
        <v>86495.404999999999</v>
      </c>
      <c r="E6" s="30">
        <v>76298.008000000002</v>
      </c>
      <c r="F6" s="3">
        <v>6852.02</v>
      </c>
      <c r="G6" s="30">
        <v>6852.02</v>
      </c>
      <c r="H6" s="3">
        <v>83067.870999999999</v>
      </c>
      <c r="I6" s="30">
        <v>83067.870999999999</v>
      </c>
    </row>
    <row r="7" spans="1:9" x14ac:dyDescent="0.25">
      <c r="A7" s="2">
        <v>2010</v>
      </c>
      <c r="B7" s="3">
        <v>393080.054</v>
      </c>
      <c r="C7" s="30">
        <v>393080.054</v>
      </c>
      <c r="D7" s="3">
        <v>90729.160999999993</v>
      </c>
      <c r="E7" s="30">
        <v>90729.160999999993</v>
      </c>
      <c r="F7" s="3">
        <v>6451.4880000000003</v>
      </c>
      <c r="G7" s="30">
        <v>6451.4880000000003</v>
      </c>
      <c r="H7" s="3">
        <v>81338.797000000006</v>
      </c>
      <c r="I7" s="30">
        <v>81338.797000000006</v>
      </c>
    </row>
    <row r="8" spans="1:9" x14ac:dyDescent="0.25">
      <c r="A8" s="2">
        <v>2011</v>
      </c>
      <c r="B8" s="3">
        <v>391712.391</v>
      </c>
      <c r="C8" s="30">
        <v>316553.10800000001</v>
      </c>
      <c r="D8" s="3">
        <v>89926.543999999994</v>
      </c>
      <c r="E8" s="30">
        <v>72676.404999999999</v>
      </c>
      <c r="F8" s="3">
        <v>6496.4880000000003</v>
      </c>
      <c r="G8" s="30">
        <v>6327.8860000000004</v>
      </c>
      <c r="H8" s="3">
        <v>83464.077000000005</v>
      </c>
      <c r="I8" s="30">
        <v>81294.417000000001</v>
      </c>
    </row>
    <row r="9" spans="1:9" x14ac:dyDescent="0.25">
      <c r="A9" s="2">
        <v>2012</v>
      </c>
      <c r="B9" s="3">
        <v>395184.20400000003</v>
      </c>
      <c r="C9" s="30">
        <v>306722.12099999998</v>
      </c>
      <c r="D9" s="3">
        <v>86495.404999999999</v>
      </c>
      <c r="E9" s="30">
        <v>67135.248999999996</v>
      </c>
      <c r="F9" s="3">
        <v>6852.02</v>
      </c>
      <c r="G9" s="30">
        <v>5662.3059999999996</v>
      </c>
      <c r="H9" s="3">
        <v>83067.870999999999</v>
      </c>
      <c r="I9" s="30">
        <v>68616.725000000006</v>
      </c>
    </row>
    <row r="10" spans="1:9" x14ac:dyDescent="0.25">
      <c r="A10" s="2">
        <v>2013</v>
      </c>
      <c r="B10" s="3">
        <v>390218.90399999998</v>
      </c>
      <c r="C10" s="30">
        <v>277526.35600000003</v>
      </c>
      <c r="D10" s="3">
        <v>90667.546000000002</v>
      </c>
      <c r="E10" s="30">
        <v>64491.786</v>
      </c>
      <c r="F10" s="3">
        <v>8966.2839999999997</v>
      </c>
      <c r="G10" s="30">
        <v>5224.5619999999999</v>
      </c>
      <c r="H10" s="3">
        <v>81746.766000000003</v>
      </c>
      <c r="I10" s="30">
        <v>47583.402999999998</v>
      </c>
    </row>
    <row r="11" spans="1:9" x14ac:dyDescent="0.25">
      <c r="A11" s="2">
        <v>2014</v>
      </c>
      <c r="B11" s="3">
        <v>401030.07400000002</v>
      </c>
      <c r="C11" s="30">
        <v>260761.15299999999</v>
      </c>
      <c r="D11" s="3">
        <v>79692.377999999997</v>
      </c>
      <c r="E11" s="30">
        <v>51839.197</v>
      </c>
      <c r="F11" s="3">
        <v>8978.9449999999997</v>
      </c>
      <c r="G11" s="30">
        <v>5062.82</v>
      </c>
      <c r="H11" s="3">
        <v>81898.103000000003</v>
      </c>
      <c r="I11" s="30">
        <v>45871.8</v>
      </c>
    </row>
    <row r="12" spans="1:9" x14ac:dyDescent="0.25">
      <c r="A12" s="2">
        <v>2015</v>
      </c>
      <c r="B12" s="3">
        <f>362228.059+42837.743</f>
        <v>405065.80200000003</v>
      </c>
      <c r="C12" s="30">
        <f>290886.191+34430.245</f>
        <v>325316.43599999999</v>
      </c>
      <c r="D12" s="3">
        <v>105419.77499999999</v>
      </c>
      <c r="E12" s="30">
        <f>84676.489-32859.73</f>
        <v>51816.758999999998</v>
      </c>
      <c r="F12" s="3">
        <f>5806.503+517.556</f>
        <v>6324.0589999999993</v>
      </c>
      <c r="G12" s="30">
        <f>4623.535+413.974</f>
        <v>5037.509</v>
      </c>
      <c r="H12" s="3">
        <v>54789.864000000001</v>
      </c>
      <c r="I12" s="30">
        <v>43617.637000000002</v>
      </c>
    </row>
    <row r="13" spans="1:9" x14ac:dyDescent="0.25">
      <c r="A13" s="2">
        <v>2016</v>
      </c>
      <c r="B13" s="3">
        <f>378039.384+40109.63</f>
        <v>418149.01400000002</v>
      </c>
      <c r="C13" s="30">
        <f>378039.384+40109.63</f>
        <v>418149.01400000002</v>
      </c>
      <c r="D13" s="3">
        <v>76714.126999999993</v>
      </c>
      <c r="E13" s="30">
        <v>76714.126999999993</v>
      </c>
      <c r="F13" s="3">
        <f>4924.488+365.225</f>
        <v>5289.7130000000006</v>
      </c>
      <c r="G13" s="30">
        <f>4924.488+365.225</f>
        <v>5289.7130000000006</v>
      </c>
      <c r="H13" s="3">
        <v>71446.645999999993</v>
      </c>
      <c r="I13" s="30">
        <v>71446.645999999993</v>
      </c>
    </row>
    <row r="14" spans="1:9" x14ac:dyDescent="0.25">
      <c r="A14" s="2">
        <v>2017</v>
      </c>
      <c r="B14" s="3">
        <f>38846+376898</f>
        <v>415744</v>
      </c>
      <c r="C14" s="30">
        <v>401608.70400000003</v>
      </c>
      <c r="D14" s="3">
        <v>77149</v>
      </c>
      <c r="E14" s="30">
        <v>75157</v>
      </c>
      <c r="F14" s="3">
        <v>5499</v>
      </c>
      <c r="G14" s="30">
        <v>5499</v>
      </c>
      <c r="H14" s="3">
        <v>73207</v>
      </c>
      <c r="I14" s="30">
        <v>73207</v>
      </c>
    </row>
    <row r="15" spans="1:9" x14ac:dyDescent="0.25">
      <c r="A15" s="2">
        <v>2018</v>
      </c>
      <c r="B15" s="3">
        <f t="shared" ref="B15:D15" si="0">B37-F15</f>
        <v>414919</v>
      </c>
      <c r="C15" s="30">
        <f t="shared" si="0"/>
        <v>378598</v>
      </c>
      <c r="D15" s="3">
        <f t="shared" si="0"/>
        <v>78325</v>
      </c>
      <c r="E15" s="30">
        <f>E37-I15</f>
        <v>74120</v>
      </c>
      <c r="F15" s="3">
        <v>4566</v>
      </c>
      <c r="G15" s="30">
        <v>4566</v>
      </c>
      <c r="H15" s="3">
        <v>73789</v>
      </c>
      <c r="I15" s="30">
        <v>73789</v>
      </c>
    </row>
    <row r="16" spans="1:9" x14ac:dyDescent="0.25">
      <c r="A16" s="2">
        <v>2019</v>
      </c>
      <c r="B16" s="84">
        <v>392611.00900000002</v>
      </c>
      <c r="C16" s="89">
        <v>392611.00900000002</v>
      </c>
      <c r="D16" s="84">
        <v>87073.653000000006</v>
      </c>
      <c r="E16" s="89">
        <v>87073.653000000006</v>
      </c>
      <c r="F16" s="85">
        <v>4693.5259999999998</v>
      </c>
      <c r="G16" s="88">
        <v>4693.5259999999998</v>
      </c>
      <c r="H16" s="85">
        <v>87221.312000000005</v>
      </c>
      <c r="I16" s="88">
        <v>87221.312000000005</v>
      </c>
    </row>
    <row r="17" spans="1:9" x14ac:dyDescent="0.25">
      <c r="A17" s="2">
        <v>2020</v>
      </c>
      <c r="B17" s="84">
        <v>392607.39600000001</v>
      </c>
      <c r="C17" s="89">
        <v>368082.87</v>
      </c>
      <c r="D17" s="84">
        <v>86778.164999999994</v>
      </c>
      <c r="E17" s="89">
        <v>81508.438999999998</v>
      </c>
      <c r="F17" s="85">
        <v>4227.0050000000001</v>
      </c>
      <c r="G17" s="88">
        <v>4227.0050000000001</v>
      </c>
      <c r="H17" s="85">
        <v>87986.933999999994</v>
      </c>
      <c r="I17" s="88">
        <v>87986.933999999994</v>
      </c>
    </row>
    <row r="18" spans="1:9" x14ac:dyDescent="0.25">
      <c r="A18" s="2">
        <v>2021</v>
      </c>
      <c r="B18" s="84">
        <v>388575.804</v>
      </c>
      <c r="C18" s="89">
        <v>366425.93599999999</v>
      </c>
      <c r="D18" s="84">
        <v>89182.570999999996</v>
      </c>
      <c r="E18" s="89">
        <v>84098.997000000003</v>
      </c>
      <c r="F18" s="85">
        <v>3584.6460000000002</v>
      </c>
      <c r="G18" s="88">
        <v>3584.6460000000002</v>
      </c>
      <c r="H18" s="85">
        <v>90256.479000000007</v>
      </c>
      <c r="I18" s="88">
        <v>90256.479000000007</v>
      </c>
    </row>
    <row r="19" spans="1:9" x14ac:dyDescent="0.25">
      <c r="A19" s="2">
        <v>2022</v>
      </c>
      <c r="B19" s="84">
        <v>389698.70299999998</v>
      </c>
      <c r="C19" s="89">
        <v>286133.59100000001</v>
      </c>
      <c r="D19" s="84">
        <v>89874.641000000003</v>
      </c>
      <c r="E19" s="89">
        <v>71253.548999999999</v>
      </c>
      <c r="F19" s="85">
        <v>4136.2479999999996</v>
      </c>
      <c r="G19" s="88">
        <v>3916.7370000000001</v>
      </c>
      <c r="H19" s="85">
        <v>87889.907999999996</v>
      </c>
      <c r="I19" s="88">
        <v>82252.660999999993</v>
      </c>
    </row>
    <row r="20" spans="1:9" x14ac:dyDescent="0.25">
      <c r="A20" s="2">
        <v>2023</v>
      </c>
      <c r="B20" s="84">
        <v>380907.18699999998</v>
      </c>
      <c r="C20" s="89">
        <v>244577.58100000001</v>
      </c>
      <c r="D20" s="84">
        <v>87107.947</v>
      </c>
      <c r="E20" s="89">
        <v>52159.447999999997</v>
      </c>
      <c r="F20" s="85">
        <v>4364.2110000000002</v>
      </c>
      <c r="G20" s="88">
        <v>3614.0709999999999</v>
      </c>
      <c r="H20" s="85">
        <v>99220.154999999999</v>
      </c>
      <c r="I20" s="88">
        <v>62450.044000000002</v>
      </c>
    </row>
    <row r="21" spans="1:9" x14ac:dyDescent="0.25">
      <c r="A21" s="2"/>
      <c r="B21" s="84"/>
      <c r="C21" s="84"/>
      <c r="D21" s="84"/>
      <c r="E21" s="84"/>
      <c r="F21" s="85"/>
      <c r="G21" s="85"/>
      <c r="H21" s="85"/>
      <c r="I21" s="85"/>
    </row>
    <row r="22" spans="1:9" x14ac:dyDescent="0.25">
      <c r="A22" s="2"/>
      <c r="B22" s="15"/>
      <c r="C22" s="15"/>
      <c r="D22" s="5"/>
      <c r="E22" s="16"/>
      <c r="H22" s="83"/>
    </row>
    <row r="23" spans="1:9" ht="15.75" thickBot="1" x14ac:dyDescent="0.3">
      <c r="E23" s="16"/>
    </row>
    <row r="24" spans="1:9" ht="15.75" thickBot="1" x14ac:dyDescent="0.3">
      <c r="B24" s="211" t="s">
        <v>39</v>
      </c>
      <c r="C24" s="212"/>
      <c r="D24" s="212"/>
      <c r="E24" s="213"/>
      <c r="F24" s="211" t="s">
        <v>13</v>
      </c>
      <c r="G24" s="213"/>
    </row>
    <row r="25" spans="1:9" ht="30.75" thickBot="1" x14ac:dyDescent="0.3">
      <c r="A25" s="1" t="s">
        <v>0</v>
      </c>
      <c r="B25" s="31" t="s">
        <v>35</v>
      </c>
      <c r="C25" s="32" t="s">
        <v>36</v>
      </c>
      <c r="D25" s="33" t="s">
        <v>37</v>
      </c>
      <c r="E25" s="34" t="s">
        <v>38</v>
      </c>
      <c r="F25" s="31" t="s">
        <v>17</v>
      </c>
      <c r="G25" s="34" t="s">
        <v>40</v>
      </c>
    </row>
    <row r="26" spans="1:9" x14ac:dyDescent="0.25">
      <c r="A26" s="1"/>
      <c r="B26" s="1"/>
      <c r="C26" s="29"/>
      <c r="D26" s="1"/>
      <c r="E26" s="29"/>
      <c r="G26" s="36"/>
    </row>
    <row r="27" spans="1:9" x14ac:dyDescent="0.25">
      <c r="A27" s="2">
        <v>2008</v>
      </c>
      <c r="B27" s="3">
        <f>B5+F5</f>
        <v>379167.83799999999</v>
      </c>
      <c r="C27" s="30">
        <f>C5+G5</f>
        <v>373208.31900000002</v>
      </c>
      <c r="D27" s="3">
        <f>D5+H5</f>
        <v>192431.66200000001</v>
      </c>
      <c r="E27" s="30">
        <f>E5+I5</f>
        <v>190888.761</v>
      </c>
      <c r="F27" s="3">
        <f t="shared" ref="F27:F35" si="1">B27+D27</f>
        <v>571599.5</v>
      </c>
      <c r="G27" s="30">
        <f t="shared" ref="G27:G35" si="2">C27+E27</f>
        <v>564097.08000000007</v>
      </c>
    </row>
    <row r="28" spans="1:9" x14ac:dyDescent="0.25">
      <c r="A28" s="2">
        <v>2009</v>
      </c>
      <c r="B28" s="3">
        <f t="shared" ref="B28:E28" si="3">B6+F6</f>
        <v>402036.22400000005</v>
      </c>
      <c r="C28" s="30">
        <f t="shared" si="3"/>
        <v>355436.68600000005</v>
      </c>
      <c r="D28" s="3">
        <f t="shared" si="3"/>
        <v>169563.27600000001</v>
      </c>
      <c r="E28" s="30">
        <f t="shared" si="3"/>
        <v>159365.87900000002</v>
      </c>
      <c r="F28" s="3">
        <f t="shared" si="1"/>
        <v>571599.5</v>
      </c>
      <c r="G28" s="30">
        <f t="shared" si="2"/>
        <v>514802.56500000006</v>
      </c>
    </row>
    <row r="29" spans="1:9" x14ac:dyDescent="0.25">
      <c r="A29" s="86">
        <v>2010</v>
      </c>
      <c r="B29" s="3">
        <f t="shared" ref="B29:E29" si="4">B7+F7</f>
        <v>399531.54200000002</v>
      </c>
      <c r="C29" s="30">
        <f t="shared" si="4"/>
        <v>399531.54200000002</v>
      </c>
      <c r="D29" s="3">
        <f t="shared" si="4"/>
        <v>172067.95799999998</v>
      </c>
      <c r="E29" s="30">
        <f t="shared" si="4"/>
        <v>172067.95799999998</v>
      </c>
      <c r="F29" s="3">
        <f t="shared" si="1"/>
        <v>571599.5</v>
      </c>
      <c r="G29" s="30">
        <f t="shared" si="2"/>
        <v>571599.5</v>
      </c>
    </row>
    <row r="30" spans="1:9" x14ac:dyDescent="0.25">
      <c r="A30" s="2">
        <v>2011</v>
      </c>
      <c r="B30" s="3">
        <f t="shared" ref="B30:E30" si="5">B8+F8</f>
        <v>398208.87900000002</v>
      </c>
      <c r="C30" s="30">
        <f t="shared" si="5"/>
        <v>322880.99400000001</v>
      </c>
      <c r="D30" s="3">
        <f t="shared" si="5"/>
        <v>173390.62099999998</v>
      </c>
      <c r="E30" s="30">
        <f t="shared" si="5"/>
        <v>153970.82199999999</v>
      </c>
      <c r="F30" s="3">
        <f t="shared" si="1"/>
        <v>571599.5</v>
      </c>
      <c r="G30" s="30">
        <f t="shared" si="2"/>
        <v>476851.81599999999</v>
      </c>
    </row>
    <row r="31" spans="1:9" x14ac:dyDescent="0.25">
      <c r="A31" s="2">
        <v>2012</v>
      </c>
      <c r="B31" s="3">
        <f t="shared" ref="B31:E31" si="6">B9+F9</f>
        <v>402036.22400000005</v>
      </c>
      <c r="C31" s="30">
        <f t="shared" si="6"/>
        <v>312384.42699999997</v>
      </c>
      <c r="D31" s="3">
        <f t="shared" si="6"/>
        <v>169563.27600000001</v>
      </c>
      <c r="E31" s="30">
        <f t="shared" si="6"/>
        <v>135751.97399999999</v>
      </c>
      <c r="F31" s="3">
        <f t="shared" si="1"/>
        <v>571599.5</v>
      </c>
      <c r="G31" s="30">
        <f t="shared" si="2"/>
        <v>448136.40099999995</v>
      </c>
    </row>
    <row r="32" spans="1:9" x14ac:dyDescent="0.25">
      <c r="A32" s="2">
        <v>2013</v>
      </c>
      <c r="B32" s="3">
        <f t="shared" ref="B32:E32" si="7">B10+F10</f>
        <v>399185.18799999997</v>
      </c>
      <c r="C32" s="30">
        <f t="shared" si="7"/>
        <v>282750.91800000001</v>
      </c>
      <c r="D32" s="3">
        <f t="shared" si="7"/>
        <v>172414.31200000001</v>
      </c>
      <c r="E32" s="30">
        <f t="shared" si="7"/>
        <v>112075.189</v>
      </c>
      <c r="F32" s="3">
        <f t="shared" si="1"/>
        <v>571599.5</v>
      </c>
      <c r="G32" s="30">
        <f t="shared" si="2"/>
        <v>394826.10700000002</v>
      </c>
    </row>
    <row r="33" spans="1:7" x14ac:dyDescent="0.25">
      <c r="A33" s="2">
        <v>2014</v>
      </c>
      <c r="B33" s="3">
        <f t="shared" ref="B33:E33" si="8">B11+F11</f>
        <v>410009.01900000003</v>
      </c>
      <c r="C33" s="30">
        <f t="shared" si="8"/>
        <v>265823.973</v>
      </c>
      <c r="D33" s="3">
        <f t="shared" si="8"/>
        <v>161590.481</v>
      </c>
      <c r="E33" s="30">
        <f t="shared" si="8"/>
        <v>97710.997000000003</v>
      </c>
      <c r="F33" s="3">
        <f t="shared" si="1"/>
        <v>571599.5</v>
      </c>
      <c r="G33" s="30">
        <f t="shared" si="2"/>
        <v>363534.97</v>
      </c>
    </row>
    <row r="34" spans="1:7" x14ac:dyDescent="0.25">
      <c r="A34" s="2">
        <v>2015</v>
      </c>
      <c r="B34" s="3">
        <f t="shared" ref="B34:E34" si="9">B12+F12</f>
        <v>411389.86100000003</v>
      </c>
      <c r="C34" s="30">
        <f t="shared" si="9"/>
        <v>330353.94500000001</v>
      </c>
      <c r="D34" s="3">
        <f t="shared" si="9"/>
        <v>160209.639</v>
      </c>
      <c r="E34" s="30">
        <f t="shared" si="9"/>
        <v>95434.396000000008</v>
      </c>
      <c r="F34" s="3">
        <f t="shared" si="1"/>
        <v>571599.5</v>
      </c>
      <c r="G34" s="30">
        <f t="shared" si="2"/>
        <v>425788.34100000001</v>
      </c>
    </row>
    <row r="35" spans="1:7" x14ac:dyDescent="0.25">
      <c r="A35" s="86">
        <v>2016</v>
      </c>
      <c r="B35" s="3">
        <f t="shared" ref="B35:E35" si="10">B13+F13</f>
        <v>423438.72700000001</v>
      </c>
      <c r="C35" s="30">
        <f t="shared" si="10"/>
        <v>423438.72700000001</v>
      </c>
      <c r="D35" s="3">
        <f t="shared" si="10"/>
        <v>148160.77299999999</v>
      </c>
      <c r="E35" s="30">
        <f t="shared" si="10"/>
        <v>148160.77299999999</v>
      </c>
      <c r="F35" s="3">
        <f t="shared" si="1"/>
        <v>571599.5</v>
      </c>
      <c r="G35" s="30">
        <f t="shared" si="2"/>
        <v>571599.5</v>
      </c>
    </row>
    <row r="36" spans="1:7" x14ac:dyDescent="0.25">
      <c r="A36" s="2">
        <v>2017</v>
      </c>
      <c r="B36" s="3">
        <f t="shared" ref="B36" si="11">B14+F14</f>
        <v>421243</v>
      </c>
      <c r="C36" s="30">
        <f t="shared" ref="C36" si="12">C14+G14</f>
        <v>407107.70400000003</v>
      </c>
      <c r="D36" s="3">
        <f t="shared" ref="D36" si="13">D14+H14</f>
        <v>150356</v>
      </c>
      <c r="E36" s="30">
        <f t="shared" ref="E36" si="14">E14+I14</f>
        <v>148364</v>
      </c>
      <c r="F36" s="3">
        <f t="shared" ref="F36" si="15">B36+D36</f>
        <v>571599</v>
      </c>
      <c r="G36" s="30">
        <f t="shared" ref="G36" si="16">C36+E36</f>
        <v>555471.70400000003</v>
      </c>
    </row>
    <row r="37" spans="1:7" x14ac:dyDescent="0.25">
      <c r="A37" s="2">
        <v>2018</v>
      </c>
      <c r="B37" s="3">
        <v>419485</v>
      </c>
      <c r="C37" s="30">
        <v>383164</v>
      </c>
      <c r="D37" s="3">
        <v>152114</v>
      </c>
      <c r="E37" s="30">
        <v>147909</v>
      </c>
      <c r="F37" s="3">
        <f t="shared" ref="F37" si="17">B37+D37</f>
        <v>571599</v>
      </c>
      <c r="G37" s="30">
        <f t="shared" ref="G37" si="18">C37+E37</f>
        <v>531073</v>
      </c>
    </row>
    <row r="38" spans="1:7" x14ac:dyDescent="0.25">
      <c r="A38" s="86">
        <v>2019</v>
      </c>
      <c r="B38" s="3">
        <v>479684.66200000001</v>
      </c>
      <c r="C38" s="30">
        <v>479684.66200000001</v>
      </c>
      <c r="D38" s="3">
        <v>91914.838000000003</v>
      </c>
      <c r="E38" s="30">
        <v>91914.838000000003</v>
      </c>
      <c r="F38" s="3">
        <f t="shared" ref="F38:F40" si="19">B38+D38</f>
        <v>571599.5</v>
      </c>
      <c r="G38" s="30">
        <f t="shared" ref="G38:G40" si="20">C38+E38</f>
        <v>571599.5</v>
      </c>
    </row>
    <row r="39" spans="1:7" x14ac:dyDescent="0.25">
      <c r="A39" s="2">
        <v>2020</v>
      </c>
      <c r="B39" s="3">
        <f t="shared" ref="B39:B42" si="21">B17+F17</f>
        <v>396834.40100000001</v>
      </c>
      <c r="C39" s="30">
        <f t="shared" ref="C39:C40" si="22">C17+G17</f>
        <v>372309.875</v>
      </c>
      <c r="D39" s="3">
        <f t="shared" ref="D39:D40" si="23">D17+H17</f>
        <v>174765.09899999999</v>
      </c>
      <c r="E39" s="30">
        <f t="shared" ref="E39:E40" si="24">E17+I17</f>
        <v>169495.37299999999</v>
      </c>
      <c r="F39" s="3">
        <f t="shared" si="19"/>
        <v>571599.5</v>
      </c>
      <c r="G39" s="30">
        <f t="shared" si="20"/>
        <v>541805.24800000002</v>
      </c>
    </row>
    <row r="40" spans="1:7" x14ac:dyDescent="0.25">
      <c r="A40" s="2">
        <v>2021</v>
      </c>
      <c r="B40" s="3">
        <f t="shared" si="21"/>
        <v>392160.45</v>
      </c>
      <c r="C40" s="30">
        <f t="shared" si="22"/>
        <v>370010.58199999999</v>
      </c>
      <c r="D40" s="3">
        <f t="shared" si="23"/>
        <v>179439.05</v>
      </c>
      <c r="E40" s="30">
        <f t="shared" si="24"/>
        <v>174355.47600000002</v>
      </c>
      <c r="F40" s="3">
        <f t="shared" si="19"/>
        <v>571599.5</v>
      </c>
      <c r="G40" s="30">
        <f t="shared" si="20"/>
        <v>544366.05799999996</v>
      </c>
    </row>
    <row r="41" spans="1:7" x14ac:dyDescent="0.25">
      <c r="A41" s="2">
        <v>2022</v>
      </c>
      <c r="B41" s="3">
        <f t="shared" si="21"/>
        <v>393834.951</v>
      </c>
      <c r="C41" s="30">
        <f t="shared" ref="C41:C42" si="25">C19+G19</f>
        <v>290050.32800000004</v>
      </c>
      <c r="D41" s="3">
        <f t="shared" ref="D41:D42" si="26">D19+H19</f>
        <v>177764.549</v>
      </c>
      <c r="E41" s="30">
        <f t="shared" ref="E41:E42" si="27">E19+I19</f>
        <v>153506.21</v>
      </c>
      <c r="F41" s="3">
        <f t="shared" ref="F41:F42" si="28">B41+D41</f>
        <v>571599.5</v>
      </c>
      <c r="G41" s="30">
        <f t="shared" ref="G41:G42" si="29">C41+E41</f>
        <v>443556.53800000006</v>
      </c>
    </row>
    <row r="42" spans="1:7" x14ac:dyDescent="0.25">
      <c r="A42" s="2">
        <v>2023</v>
      </c>
      <c r="B42" s="3">
        <f t="shared" si="21"/>
        <v>385271.39799999999</v>
      </c>
      <c r="C42" s="30">
        <f t="shared" si="25"/>
        <v>248191.652</v>
      </c>
      <c r="D42" s="3">
        <f t="shared" si="26"/>
        <v>186328.10200000001</v>
      </c>
      <c r="E42" s="30">
        <f t="shared" si="27"/>
        <v>114609.492</v>
      </c>
      <c r="F42" s="3">
        <f t="shared" si="28"/>
        <v>571599.5</v>
      </c>
      <c r="G42" s="30">
        <f t="shared" si="29"/>
        <v>362801.14399999997</v>
      </c>
    </row>
  </sheetData>
  <mergeCells count="4">
    <mergeCell ref="B2:E2"/>
    <mergeCell ref="F2:I2"/>
    <mergeCell ref="B24:E24"/>
    <mergeCell ref="F24:G24"/>
  </mergeCells>
  <pageMargins left="0.7" right="0.7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68"/>
  <sheetViews>
    <sheetView topLeftCell="C1" workbookViewId="0">
      <pane ySplit="1" topLeftCell="A10" activePane="bottomLeft" state="frozen"/>
      <selection pane="bottomLeft" activeCell="X94" sqref="X94"/>
    </sheetView>
  </sheetViews>
  <sheetFormatPr defaultRowHeight="15" x14ac:dyDescent="0.25"/>
  <cols>
    <col min="1" max="1" width="9.7109375" customWidth="1"/>
    <col min="2" max="4" width="11.7109375" customWidth="1"/>
    <col min="5" max="5" width="2.7109375" customWidth="1"/>
    <col min="6" max="8" width="11.7109375" customWidth="1"/>
    <col min="10" max="13" width="9.7109375" customWidth="1"/>
    <col min="14" max="14" width="2.7109375" customWidth="1"/>
    <col min="15" max="17" width="9.7109375" customWidth="1"/>
  </cols>
  <sheetData>
    <row r="1" spans="1:17" ht="15.75" thickBot="1" x14ac:dyDescent="0.3">
      <c r="B1" s="1" t="s">
        <v>2</v>
      </c>
      <c r="C1" s="1" t="s">
        <v>1</v>
      </c>
      <c r="D1" s="1" t="s">
        <v>4</v>
      </c>
      <c r="E1" s="1"/>
      <c r="F1" s="1" t="s">
        <v>3</v>
      </c>
      <c r="G1" s="1" t="s">
        <v>4</v>
      </c>
      <c r="H1" s="1" t="s">
        <v>5</v>
      </c>
      <c r="K1" s="1" t="s">
        <v>2</v>
      </c>
      <c r="L1" s="1" t="s">
        <v>1</v>
      </c>
      <c r="M1" s="1" t="s">
        <v>4</v>
      </c>
      <c r="N1" s="1"/>
      <c r="O1" s="1" t="s">
        <v>3</v>
      </c>
      <c r="P1" s="1" t="s">
        <v>4</v>
      </c>
      <c r="Q1" s="1" t="s">
        <v>5</v>
      </c>
    </row>
    <row r="2" spans="1:17" ht="15.75" thickBot="1" x14ac:dyDescent="0.3">
      <c r="A2" s="18" t="s">
        <v>11</v>
      </c>
      <c r="F2" s="4"/>
      <c r="G2" s="4"/>
      <c r="H2" s="17"/>
      <c r="J2" s="19" t="s">
        <v>15</v>
      </c>
      <c r="K2" s="20"/>
    </row>
    <row r="3" spans="1:17" x14ac:dyDescent="0.25">
      <c r="A3">
        <v>2008</v>
      </c>
      <c r="B3">
        <v>0</v>
      </c>
      <c r="C3">
        <v>0</v>
      </c>
      <c r="D3" s="4">
        <v>1165</v>
      </c>
      <c r="F3" s="4">
        <f>B3+C3</f>
        <v>0</v>
      </c>
      <c r="G3" s="4">
        <f t="shared" ref="G3:G77" si="0">D3</f>
        <v>1165</v>
      </c>
      <c r="H3" s="17">
        <f>F3+G3</f>
        <v>1165</v>
      </c>
      <c r="J3">
        <v>2008</v>
      </c>
      <c r="K3" s="17">
        <f t="shared" ref="K3:K18" si="1">B135</f>
        <v>4768</v>
      </c>
      <c r="L3" s="17">
        <f t="shared" ref="L3:L16" si="2">C135</f>
        <v>126</v>
      </c>
      <c r="M3" s="17">
        <f t="shared" ref="M3:M16" si="3">D135</f>
        <v>63715</v>
      </c>
      <c r="N3" s="17"/>
      <c r="O3" s="21">
        <f>K3+L3</f>
        <v>4894</v>
      </c>
      <c r="P3" s="22">
        <f>M3</f>
        <v>63715</v>
      </c>
      <c r="Q3" s="23">
        <f>O3+P3</f>
        <v>68609</v>
      </c>
    </row>
    <row r="4" spans="1:17" x14ac:dyDescent="0.25">
      <c r="A4">
        <v>2009</v>
      </c>
      <c r="B4">
        <v>0</v>
      </c>
      <c r="C4">
        <v>0</v>
      </c>
      <c r="D4" s="4">
        <v>1150</v>
      </c>
      <c r="F4" s="4">
        <f t="shared" ref="F4:F16" si="4">B4+C4</f>
        <v>0</v>
      </c>
      <c r="G4" s="4">
        <f t="shared" ref="G4:G16" si="5">D4</f>
        <v>1150</v>
      </c>
      <c r="H4" s="17">
        <f t="shared" ref="H4:H16" si="6">F4+G4</f>
        <v>1150</v>
      </c>
      <c r="J4">
        <v>2009</v>
      </c>
      <c r="K4" s="17">
        <f t="shared" si="1"/>
        <v>4797</v>
      </c>
      <c r="L4" s="17">
        <f t="shared" si="2"/>
        <v>107</v>
      </c>
      <c r="M4" s="17">
        <f t="shared" si="3"/>
        <v>58814</v>
      </c>
      <c r="N4" s="17"/>
      <c r="O4" s="24">
        <f t="shared" ref="O4:O11" si="7">K4+L4</f>
        <v>4904</v>
      </c>
      <c r="P4" s="17">
        <f t="shared" ref="P4:P11" si="8">M4</f>
        <v>58814</v>
      </c>
      <c r="Q4" s="7">
        <f t="shared" ref="Q4:Q11" si="9">O4+P4</f>
        <v>63718</v>
      </c>
    </row>
    <row r="5" spans="1:17" x14ac:dyDescent="0.25">
      <c r="A5">
        <v>2010</v>
      </c>
      <c r="B5">
        <v>0</v>
      </c>
      <c r="C5">
        <v>0</v>
      </c>
      <c r="D5">
        <v>709</v>
      </c>
      <c r="F5" s="4">
        <f t="shared" si="4"/>
        <v>0</v>
      </c>
      <c r="G5" s="4">
        <f t="shared" si="5"/>
        <v>709</v>
      </c>
      <c r="H5" s="17">
        <f t="shared" si="6"/>
        <v>709</v>
      </c>
      <c r="J5">
        <v>2010</v>
      </c>
      <c r="K5" s="17">
        <f t="shared" si="1"/>
        <v>3975</v>
      </c>
      <c r="L5" s="17">
        <f t="shared" si="2"/>
        <v>119</v>
      </c>
      <c r="M5" s="17">
        <f t="shared" si="3"/>
        <v>38118</v>
      </c>
      <c r="N5" s="17"/>
      <c r="O5" s="24">
        <f t="shared" si="7"/>
        <v>4094</v>
      </c>
      <c r="P5" s="17">
        <f t="shared" si="8"/>
        <v>38118</v>
      </c>
      <c r="Q5" s="7">
        <f t="shared" si="9"/>
        <v>42212</v>
      </c>
    </row>
    <row r="6" spans="1:17" x14ac:dyDescent="0.25">
      <c r="A6">
        <v>2011</v>
      </c>
      <c r="B6">
        <v>0</v>
      </c>
      <c r="C6">
        <v>0</v>
      </c>
      <c r="D6" s="4">
        <v>1233</v>
      </c>
      <c r="F6" s="4">
        <f t="shared" si="4"/>
        <v>0</v>
      </c>
      <c r="G6" s="4">
        <f t="shared" si="5"/>
        <v>1233</v>
      </c>
      <c r="H6" s="17">
        <f t="shared" si="6"/>
        <v>1233</v>
      </c>
      <c r="J6">
        <v>2011</v>
      </c>
      <c r="K6" s="17">
        <f t="shared" si="1"/>
        <v>4862</v>
      </c>
      <c r="L6" s="17">
        <f t="shared" si="2"/>
        <v>151</v>
      </c>
      <c r="M6" s="17">
        <f t="shared" si="3"/>
        <v>68171</v>
      </c>
      <c r="N6" s="17"/>
      <c r="O6" s="24">
        <f t="shared" si="7"/>
        <v>5013</v>
      </c>
      <c r="P6" s="17">
        <f t="shared" si="8"/>
        <v>68171</v>
      </c>
      <c r="Q6" s="7">
        <f t="shared" si="9"/>
        <v>73184</v>
      </c>
    </row>
    <row r="7" spans="1:17" x14ac:dyDescent="0.25">
      <c r="A7">
        <v>2012</v>
      </c>
      <c r="B7">
        <v>0</v>
      </c>
      <c r="C7">
        <v>0</v>
      </c>
      <c r="D7" s="4">
        <v>1259</v>
      </c>
      <c r="F7" s="4">
        <f t="shared" si="4"/>
        <v>0</v>
      </c>
      <c r="G7" s="4">
        <f t="shared" si="5"/>
        <v>1259</v>
      </c>
      <c r="H7" s="17">
        <f t="shared" si="6"/>
        <v>1259</v>
      </c>
      <c r="J7">
        <v>2012</v>
      </c>
      <c r="K7" s="17">
        <f t="shared" si="1"/>
        <v>4355</v>
      </c>
      <c r="L7" s="17">
        <f t="shared" si="2"/>
        <v>143</v>
      </c>
      <c r="M7" s="17">
        <f t="shared" si="3"/>
        <v>49163</v>
      </c>
      <c r="N7" s="17"/>
      <c r="O7" s="24">
        <f t="shared" si="7"/>
        <v>4498</v>
      </c>
      <c r="P7" s="17">
        <f t="shared" si="8"/>
        <v>49163</v>
      </c>
      <c r="Q7" s="7">
        <f t="shared" si="9"/>
        <v>53661</v>
      </c>
    </row>
    <row r="8" spans="1:17" x14ac:dyDescent="0.25">
      <c r="A8">
        <v>2013</v>
      </c>
      <c r="B8">
        <v>0</v>
      </c>
      <c r="C8">
        <v>0</v>
      </c>
      <c r="D8" s="4">
        <v>1208</v>
      </c>
      <c r="F8" s="4">
        <f t="shared" si="4"/>
        <v>0</v>
      </c>
      <c r="G8" s="4">
        <f t="shared" si="5"/>
        <v>1208</v>
      </c>
      <c r="H8" s="17">
        <f t="shared" si="6"/>
        <v>1208</v>
      </c>
      <c r="J8">
        <v>2013</v>
      </c>
      <c r="K8" s="17">
        <f t="shared" si="1"/>
        <v>3870</v>
      </c>
      <c r="L8" s="17">
        <f t="shared" si="2"/>
        <v>95</v>
      </c>
      <c r="M8" s="17">
        <f t="shared" si="3"/>
        <v>36959</v>
      </c>
      <c r="N8" s="17"/>
      <c r="O8" s="24">
        <f t="shared" si="7"/>
        <v>3965</v>
      </c>
      <c r="P8" s="17">
        <f t="shared" si="8"/>
        <v>36959</v>
      </c>
      <c r="Q8" s="7">
        <f t="shared" si="9"/>
        <v>40924</v>
      </c>
    </row>
    <row r="9" spans="1:17" x14ac:dyDescent="0.25">
      <c r="A9">
        <v>2014</v>
      </c>
      <c r="B9">
        <v>0</v>
      </c>
      <c r="C9">
        <v>0</v>
      </c>
      <c r="D9" s="4">
        <v>1190.8499999999999</v>
      </c>
      <c r="F9" s="4">
        <f t="shared" si="4"/>
        <v>0</v>
      </c>
      <c r="G9" s="4">
        <f t="shared" si="5"/>
        <v>1190.8499999999999</v>
      </c>
      <c r="H9" s="17">
        <f t="shared" si="6"/>
        <v>1190.8499999999999</v>
      </c>
      <c r="J9">
        <v>2014</v>
      </c>
      <c r="K9" s="17">
        <f t="shared" si="1"/>
        <v>3700.0839999999998</v>
      </c>
      <c r="L9" s="17">
        <f t="shared" si="2"/>
        <v>109.169</v>
      </c>
      <c r="M9" s="17">
        <f t="shared" si="3"/>
        <v>35057.114999999998</v>
      </c>
      <c r="N9" s="17"/>
      <c r="O9" s="24">
        <f t="shared" si="7"/>
        <v>3809.2529999999997</v>
      </c>
      <c r="P9" s="17">
        <f t="shared" si="8"/>
        <v>35057.114999999998</v>
      </c>
      <c r="Q9" s="7">
        <f t="shared" si="9"/>
        <v>38866.367999999995</v>
      </c>
    </row>
    <row r="10" spans="1:17" x14ac:dyDescent="0.25">
      <c r="A10">
        <v>2015</v>
      </c>
      <c r="B10">
        <v>0</v>
      </c>
      <c r="C10">
        <v>0</v>
      </c>
      <c r="D10" s="4">
        <v>982.69399999999996</v>
      </c>
      <c r="F10" s="4">
        <f t="shared" si="4"/>
        <v>0</v>
      </c>
      <c r="G10" s="4">
        <f t="shared" si="5"/>
        <v>982.69399999999996</v>
      </c>
      <c r="H10" s="17">
        <f t="shared" si="6"/>
        <v>982.69399999999996</v>
      </c>
      <c r="J10">
        <v>2015</v>
      </c>
      <c r="K10" s="17">
        <f t="shared" si="1"/>
        <v>3152.212</v>
      </c>
      <c r="L10" s="17">
        <f t="shared" si="2"/>
        <v>133.73699999999999</v>
      </c>
      <c r="M10" s="17">
        <f t="shared" si="3"/>
        <v>19084.181</v>
      </c>
      <c r="N10" s="17"/>
      <c r="O10" s="24">
        <f t="shared" si="7"/>
        <v>3285.9490000000001</v>
      </c>
      <c r="P10" s="17">
        <f t="shared" si="8"/>
        <v>19084.181</v>
      </c>
      <c r="Q10" s="7">
        <f t="shared" si="9"/>
        <v>22370.13</v>
      </c>
    </row>
    <row r="11" spans="1:17" x14ac:dyDescent="0.25">
      <c r="A11">
        <v>2016</v>
      </c>
      <c r="B11">
        <v>0</v>
      </c>
      <c r="C11">
        <v>0</v>
      </c>
      <c r="D11" s="4">
        <v>999.26</v>
      </c>
      <c r="F11" s="4">
        <f t="shared" si="4"/>
        <v>0</v>
      </c>
      <c r="G11" s="4">
        <f t="shared" si="5"/>
        <v>999.26</v>
      </c>
      <c r="H11" s="17">
        <f t="shared" si="6"/>
        <v>999.26</v>
      </c>
      <c r="J11">
        <v>2016</v>
      </c>
      <c r="K11" s="17">
        <f t="shared" si="1"/>
        <v>3012.6390000000001</v>
      </c>
      <c r="L11" s="17">
        <f t="shared" si="2"/>
        <v>103.188</v>
      </c>
      <c r="M11" s="17">
        <f t="shared" si="3"/>
        <v>28811.863000000001</v>
      </c>
      <c r="N11" s="17"/>
      <c r="O11" s="24">
        <f t="shared" si="7"/>
        <v>3115.8270000000002</v>
      </c>
      <c r="P11" s="17">
        <f t="shared" si="8"/>
        <v>28811.863000000001</v>
      </c>
      <c r="Q11" s="7">
        <f t="shared" si="9"/>
        <v>31927.690000000002</v>
      </c>
    </row>
    <row r="12" spans="1:17" x14ac:dyDescent="0.25">
      <c r="A12">
        <v>2017</v>
      </c>
      <c r="B12">
        <v>0</v>
      </c>
      <c r="C12">
        <v>0</v>
      </c>
      <c r="D12" s="4">
        <v>1453.933</v>
      </c>
      <c r="F12" s="4">
        <f t="shared" si="4"/>
        <v>0</v>
      </c>
      <c r="G12" s="4">
        <f t="shared" si="5"/>
        <v>1453.933</v>
      </c>
      <c r="H12" s="17">
        <f t="shared" si="6"/>
        <v>1453.933</v>
      </c>
      <c r="J12">
        <v>2017</v>
      </c>
      <c r="K12" s="17">
        <f t="shared" si="1"/>
        <v>3182.1060000000002</v>
      </c>
      <c r="L12" s="17">
        <f t="shared" si="2"/>
        <v>128.11500000000001</v>
      </c>
      <c r="M12" s="17">
        <f t="shared" si="3"/>
        <v>35534.237000000001</v>
      </c>
      <c r="N12" s="17"/>
      <c r="O12" s="24">
        <f t="shared" ref="O12" si="10">K12+L12</f>
        <v>3310.2210000000005</v>
      </c>
      <c r="P12" s="17">
        <f t="shared" ref="P12" si="11">M12</f>
        <v>35534.237000000001</v>
      </c>
      <c r="Q12" s="7">
        <f t="shared" ref="Q12" si="12">O12+P12</f>
        <v>38844.457999999999</v>
      </c>
    </row>
    <row r="13" spans="1:17" x14ac:dyDescent="0.25">
      <c r="A13">
        <v>2018</v>
      </c>
      <c r="B13">
        <v>0</v>
      </c>
      <c r="C13">
        <v>0</v>
      </c>
      <c r="D13" s="4">
        <v>1413</v>
      </c>
      <c r="F13" s="4">
        <f t="shared" si="4"/>
        <v>0</v>
      </c>
      <c r="G13" s="4">
        <f t="shared" si="5"/>
        <v>1413</v>
      </c>
      <c r="H13" s="17">
        <f t="shared" si="6"/>
        <v>1413</v>
      </c>
      <c r="J13">
        <v>2018</v>
      </c>
      <c r="K13" s="17">
        <f t="shared" si="1"/>
        <v>3251</v>
      </c>
      <c r="L13" s="17">
        <f t="shared" si="2"/>
        <v>133</v>
      </c>
      <c r="M13" s="17">
        <f t="shared" si="3"/>
        <v>46503</v>
      </c>
      <c r="N13" s="17"/>
      <c r="O13" s="24">
        <f t="shared" ref="O13" si="13">K13+L13</f>
        <v>3384</v>
      </c>
      <c r="P13" s="17">
        <f t="shared" ref="P13" si="14">M13</f>
        <v>46503</v>
      </c>
      <c r="Q13" s="7">
        <f t="shared" ref="Q13" si="15">O13+P13</f>
        <v>49887</v>
      </c>
    </row>
    <row r="14" spans="1:17" x14ac:dyDescent="0.25">
      <c r="A14">
        <v>2019</v>
      </c>
      <c r="B14">
        <v>0</v>
      </c>
      <c r="C14">
        <v>0</v>
      </c>
      <c r="D14" s="4">
        <v>1211.5340000000001</v>
      </c>
      <c r="F14" s="4">
        <f t="shared" si="4"/>
        <v>0</v>
      </c>
      <c r="G14" s="4">
        <f t="shared" si="5"/>
        <v>1211.5340000000001</v>
      </c>
      <c r="H14" s="17">
        <f t="shared" si="6"/>
        <v>1211.5340000000001</v>
      </c>
      <c r="J14">
        <v>2019</v>
      </c>
      <c r="K14" s="17">
        <f t="shared" si="1"/>
        <v>2966.3870000000002</v>
      </c>
      <c r="L14" s="17">
        <f t="shared" si="2"/>
        <v>100.974</v>
      </c>
      <c r="M14" s="17">
        <f t="shared" si="3"/>
        <v>38876.222999999998</v>
      </c>
      <c r="N14" s="17"/>
      <c r="O14" s="24">
        <f t="shared" ref="O14" si="16">K14+L14</f>
        <v>3067.3610000000003</v>
      </c>
      <c r="P14" s="17">
        <f t="shared" ref="P14" si="17">M14</f>
        <v>38876.222999999998</v>
      </c>
      <c r="Q14" s="7">
        <f t="shared" ref="Q14" si="18">O14+P14</f>
        <v>41943.583999999995</v>
      </c>
    </row>
    <row r="15" spans="1:17" x14ac:dyDescent="0.25">
      <c r="A15">
        <v>2020</v>
      </c>
      <c r="B15">
        <v>0</v>
      </c>
      <c r="C15">
        <v>0</v>
      </c>
      <c r="D15" s="4">
        <v>1970.885</v>
      </c>
      <c r="F15" s="4">
        <f t="shared" si="4"/>
        <v>0</v>
      </c>
      <c r="G15" s="4">
        <f t="shared" si="5"/>
        <v>1970.885</v>
      </c>
      <c r="H15" s="17">
        <f t="shared" si="6"/>
        <v>1970.885</v>
      </c>
      <c r="J15">
        <v>2020</v>
      </c>
      <c r="K15" s="17">
        <f t="shared" si="1"/>
        <v>3476.991</v>
      </c>
      <c r="L15" s="17">
        <f t="shared" si="2"/>
        <v>100.324</v>
      </c>
      <c r="M15" s="17">
        <f t="shared" si="3"/>
        <v>53752.855000000003</v>
      </c>
      <c r="N15" s="17"/>
      <c r="O15" s="24">
        <f t="shared" ref="O15" si="19">K15+L15</f>
        <v>3577.3150000000001</v>
      </c>
      <c r="P15" s="17">
        <f t="shared" ref="P15" si="20">M15</f>
        <v>53752.855000000003</v>
      </c>
      <c r="Q15" s="7">
        <f t="shared" ref="Q15" si="21">O15+P15</f>
        <v>57330.170000000006</v>
      </c>
    </row>
    <row r="16" spans="1:17" x14ac:dyDescent="0.25">
      <c r="A16">
        <v>2021</v>
      </c>
      <c r="B16">
        <v>0</v>
      </c>
      <c r="C16">
        <v>0</v>
      </c>
      <c r="D16" s="4">
        <v>1382.8520000000001</v>
      </c>
      <c r="F16" s="4">
        <f t="shared" si="4"/>
        <v>0</v>
      </c>
      <c r="G16" s="4">
        <f t="shared" si="5"/>
        <v>1382.8520000000001</v>
      </c>
      <c r="H16" s="17">
        <f t="shared" si="6"/>
        <v>1382.8520000000001</v>
      </c>
      <c r="J16">
        <v>2021</v>
      </c>
      <c r="K16" s="17">
        <f t="shared" si="1"/>
        <v>2812.5259999999998</v>
      </c>
      <c r="L16" s="17">
        <f t="shared" si="2"/>
        <v>86.283000000000001</v>
      </c>
      <c r="M16" s="17">
        <f t="shared" si="3"/>
        <v>42315.08</v>
      </c>
      <c r="N16" s="17"/>
      <c r="O16" s="24">
        <f t="shared" ref="O16:O17" si="22">K16+L16</f>
        <v>2898.8089999999997</v>
      </c>
      <c r="P16" s="17">
        <f t="shared" ref="P16:P17" si="23">M16</f>
        <v>42315.08</v>
      </c>
      <c r="Q16" s="7">
        <f t="shared" ref="Q16:Q17" si="24">O16+P16</f>
        <v>45213.889000000003</v>
      </c>
    </row>
    <row r="17" spans="1:17" x14ac:dyDescent="0.25">
      <c r="A17">
        <v>2022</v>
      </c>
      <c r="B17">
        <v>0</v>
      </c>
      <c r="C17">
        <v>7.3540000000000001</v>
      </c>
      <c r="D17" s="4">
        <v>1869.0319999999999</v>
      </c>
      <c r="F17" s="4">
        <f t="shared" ref="F17:F18" si="25">B17+C17</f>
        <v>7.3540000000000001</v>
      </c>
      <c r="G17" s="4">
        <f t="shared" ref="G17:G18" si="26">D17</f>
        <v>1869.0319999999999</v>
      </c>
      <c r="H17" s="17">
        <f t="shared" ref="H17:H18" si="27">F17+G17</f>
        <v>1876.386</v>
      </c>
      <c r="J17">
        <v>2022</v>
      </c>
      <c r="K17" s="17">
        <f t="shared" si="1"/>
        <v>3216.346</v>
      </c>
      <c r="L17" s="17">
        <f t="shared" ref="L17:L18" si="28">C149</f>
        <v>114.102</v>
      </c>
      <c r="M17" s="17">
        <f t="shared" ref="M17:M18" si="29">D149</f>
        <v>61391.553999999996</v>
      </c>
      <c r="N17" s="17"/>
      <c r="O17" s="24">
        <f t="shared" si="22"/>
        <v>3330.4479999999999</v>
      </c>
      <c r="P17" s="17">
        <f t="shared" si="23"/>
        <v>61391.553999999996</v>
      </c>
      <c r="Q17" s="7">
        <f t="shared" si="24"/>
        <v>64722.001999999993</v>
      </c>
    </row>
    <row r="18" spans="1:17" ht="15.75" thickBot="1" x14ac:dyDescent="0.3">
      <c r="A18">
        <v>2023</v>
      </c>
      <c r="B18">
        <v>0</v>
      </c>
      <c r="C18">
        <v>9.1240000000000006</v>
      </c>
      <c r="D18" s="4">
        <v>1939.241</v>
      </c>
      <c r="F18" s="4">
        <f t="shared" si="25"/>
        <v>9.1240000000000006</v>
      </c>
      <c r="G18" s="4">
        <f t="shared" si="26"/>
        <v>1939.241</v>
      </c>
      <c r="H18" s="17">
        <f t="shared" si="27"/>
        <v>1948.365</v>
      </c>
      <c r="J18">
        <v>2023</v>
      </c>
      <c r="K18" s="17">
        <f t="shared" si="1"/>
        <v>3000.9679999999998</v>
      </c>
      <c r="L18" s="17">
        <f t="shared" si="28"/>
        <v>123.727</v>
      </c>
      <c r="M18" s="17">
        <f t="shared" si="29"/>
        <v>38396.578999999998</v>
      </c>
      <c r="N18" s="17"/>
      <c r="O18" s="25">
        <f t="shared" ref="O18" si="30">K18+L18</f>
        <v>3124.6949999999997</v>
      </c>
      <c r="P18" s="26">
        <f t="shared" ref="P18" si="31">M18</f>
        <v>38396.578999999998</v>
      </c>
      <c r="Q18" s="27">
        <f t="shared" ref="Q18" si="32">O18+P18</f>
        <v>41521.273999999998</v>
      </c>
    </row>
    <row r="19" spans="1:17" x14ac:dyDescent="0.25">
      <c r="F19" s="4"/>
      <c r="G19" s="4"/>
      <c r="H19" s="17"/>
      <c r="O19" s="4"/>
      <c r="P19" s="4"/>
      <c r="Q19" s="17"/>
    </row>
    <row r="20" spans="1:17" x14ac:dyDescent="0.25">
      <c r="F20" s="4"/>
      <c r="G20" s="4"/>
      <c r="H20" s="17"/>
      <c r="O20" s="4"/>
      <c r="P20" s="4"/>
      <c r="Q20" s="17"/>
    </row>
    <row r="21" spans="1:17" x14ac:dyDescent="0.25">
      <c r="F21" s="4"/>
      <c r="G21" s="4"/>
      <c r="H21" s="17"/>
      <c r="O21" s="4"/>
      <c r="P21" s="4"/>
      <c r="Q21" s="17"/>
    </row>
    <row r="22" spans="1:17" x14ac:dyDescent="0.25">
      <c r="F22" s="4"/>
      <c r="G22" s="4"/>
      <c r="H22" s="17"/>
      <c r="O22" s="4"/>
      <c r="P22" s="4"/>
      <c r="Q22" s="17"/>
    </row>
    <row r="23" spans="1:17" ht="15.75" thickBot="1" x14ac:dyDescent="0.3">
      <c r="F23" s="4"/>
      <c r="G23" s="4"/>
      <c r="H23" s="17"/>
      <c r="O23" s="4"/>
      <c r="P23" s="4"/>
      <c r="Q23" s="17"/>
    </row>
    <row r="24" spans="1:17" ht="15.75" thickBot="1" x14ac:dyDescent="0.3">
      <c r="A24" s="18" t="s">
        <v>7</v>
      </c>
      <c r="F24" s="4"/>
      <c r="G24" s="4"/>
      <c r="H24" s="17"/>
      <c r="J24" s="19" t="s">
        <v>16</v>
      </c>
      <c r="K24" s="20"/>
      <c r="O24" s="4"/>
      <c r="P24" s="4"/>
      <c r="Q24" s="17"/>
    </row>
    <row r="25" spans="1:17" x14ac:dyDescent="0.25">
      <c r="A25">
        <v>2008</v>
      </c>
      <c r="B25" s="4">
        <v>244622</v>
      </c>
      <c r="C25" s="4">
        <v>19231</v>
      </c>
      <c r="D25" s="4">
        <v>7265</v>
      </c>
      <c r="F25" s="4">
        <f t="shared" ref="F25:F77" si="33">B25+C25</f>
        <v>263853</v>
      </c>
      <c r="G25" s="4">
        <f t="shared" si="0"/>
        <v>7265</v>
      </c>
      <c r="H25" s="17">
        <f t="shared" ref="H25:H77" si="34">F25+G25</f>
        <v>271118</v>
      </c>
      <c r="J25">
        <v>2008</v>
      </c>
      <c r="K25" s="4">
        <f t="shared" ref="K25:K40" si="35">B3+B25+B47+B69+B91+B113</f>
        <v>261887</v>
      </c>
      <c r="L25" s="4">
        <f t="shared" ref="L25:L40" si="36">C3+C25+C47+C69+C91+C113</f>
        <v>28689</v>
      </c>
      <c r="M25" s="4">
        <f t="shared" ref="M25:M40" si="37">D3+D25+D47+D69+D91+D113</f>
        <v>48993</v>
      </c>
      <c r="N25" s="4"/>
      <c r="O25" s="12">
        <f>K25+L25</f>
        <v>290576</v>
      </c>
      <c r="P25" s="13">
        <f>M25</f>
        <v>48993</v>
      </c>
      <c r="Q25" s="14">
        <f>O25+P25</f>
        <v>339569</v>
      </c>
    </row>
    <row r="26" spans="1:17" x14ac:dyDescent="0.25">
      <c r="A26">
        <v>2009</v>
      </c>
      <c r="B26" s="4">
        <v>221633</v>
      </c>
      <c r="C26" s="4">
        <v>16766</v>
      </c>
      <c r="D26" s="4">
        <v>10233</v>
      </c>
      <c r="F26" s="4">
        <f t="shared" si="33"/>
        <v>238399</v>
      </c>
      <c r="G26" s="4">
        <f t="shared" si="0"/>
        <v>10233</v>
      </c>
      <c r="H26" s="17">
        <f t="shared" si="34"/>
        <v>248632</v>
      </c>
      <c r="J26">
        <v>2009</v>
      </c>
      <c r="K26" s="4">
        <f t="shared" si="35"/>
        <v>238246</v>
      </c>
      <c r="L26" s="4">
        <f t="shared" si="36"/>
        <v>25219</v>
      </c>
      <c r="M26" s="4">
        <f t="shared" si="37"/>
        <v>50072</v>
      </c>
      <c r="N26" s="4"/>
      <c r="O26" s="6">
        <f t="shared" ref="O26:O33" si="38">K26+L26</f>
        <v>263465</v>
      </c>
      <c r="P26" s="4">
        <f t="shared" ref="P26:P33" si="39">M26</f>
        <v>50072</v>
      </c>
      <c r="Q26" s="8">
        <f t="shared" ref="Q26:Q33" si="40">O26+P26</f>
        <v>313537</v>
      </c>
    </row>
    <row r="27" spans="1:17" x14ac:dyDescent="0.25">
      <c r="A27">
        <v>2010</v>
      </c>
      <c r="B27" s="4">
        <v>236185</v>
      </c>
      <c r="C27" s="4">
        <v>17882</v>
      </c>
      <c r="D27" s="4">
        <v>5107</v>
      </c>
      <c r="F27" s="4">
        <f t="shared" si="33"/>
        <v>254067</v>
      </c>
      <c r="G27" s="4">
        <f t="shared" si="0"/>
        <v>5107</v>
      </c>
      <c r="H27" s="17">
        <f t="shared" si="34"/>
        <v>259174</v>
      </c>
      <c r="J27">
        <v>2010</v>
      </c>
      <c r="K27" s="4">
        <f t="shared" si="35"/>
        <v>251229</v>
      </c>
      <c r="L27" s="4">
        <f t="shared" si="36"/>
        <v>26068</v>
      </c>
      <c r="M27" s="4">
        <f t="shared" si="37"/>
        <v>34572</v>
      </c>
      <c r="N27" s="4"/>
      <c r="O27" s="6">
        <f t="shared" si="38"/>
        <v>277297</v>
      </c>
      <c r="P27" s="4">
        <f t="shared" si="39"/>
        <v>34572</v>
      </c>
      <c r="Q27" s="8">
        <f t="shared" si="40"/>
        <v>311869</v>
      </c>
    </row>
    <row r="28" spans="1:17" x14ac:dyDescent="0.25">
      <c r="A28">
        <v>2011</v>
      </c>
      <c r="B28" s="4">
        <v>237620</v>
      </c>
      <c r="C28" s="4">
        <v>15269</v>
      </c>
      <c r="D28" s="4">
        <v>7436</v>
      </c>
      <c r="E28" s="4"/>
      <c r="F28" s="4">
        <f t="shared" si="33"/>
        <v>252889</v>
      </c>
      <c r="G28" s="4">
        <f t="shared" si="0"/>
        <v>7436</v>
      </c>
      <c r="H28" s="17">
        <f t="shared" si="34"/>
        <v>260325</v>
      </c>
      <c r="J28">
        <v>2011</v>
      </c>
      <c r="K28" s="4">
        <f t="shared" si="35"/>
        <v>255469</v>
      </c>
      <c r="L28" s="4">
        <f t="shared" si="36"/>
        <v>23241</v>
      </c>
      <c r="M28" s="4">
        <f t="shared" si="37"/>
        <v>56734</v>
      </c>
      <c r="N28" s="4"/>
      <c r="O28" s="6">
        <f t="shared" si="38"/>
        <v>278710</v>
      </c>
      <c r="P28" s="4">
        <f t="shared" si="39"/>
        <v>56734</v>
      </c>
      <c r="Q28" s="8">
        <f t="shared" si="40"/>
        <v>335444</v>
      </c>
    </row>
    <row r="29" spans="1:17" x14ac:dyDescent="0.25">
      <c r="A29">
        <v>2012</v>
      </c>
      <c r="B29" s="4">
        <v>237954</v>
      </c>
      <c r="C29" s="4">
        <v>14165</v>
      </c>
      <c r="D29" s="4">
        <v>4703</v>
      </c>
      <c r="F29" s="4">
        <f t="shared" si="33"/>
        <v>252119</v>
      </c>
      <c r="G29" s="4">
        <f t="shared" si="0"/>
        <v>4703</v>
      </c>
      <c r="H29" s="17">
        <f t="shared" si="34"/>
        <v>256822</v>
      </c>
      <c r="J29">
        <v>2012</v>
      </c>
      <c r="K29" s="4">
        <f t="shared" si="35"/>
        <v>253522</v>
      </c>
      <c r="L29" s="4">
        <f t="shared" si="36"/>
        <v>22417</v>
      </c>
      <c r="M29" s="4">
        <f t="shared" si="37"/>
        <v>41393</v>
      </c>
      <c r="N29" s="4"/>
      <c r="O29" s="6">
        <f t="shared" si="38"/>
        <v>275939</v>
      </c>
      <c r="P29" s="4">
        <f t="shared" si="39"/>
        <v>41393</v>
      </c>
      <c r="Q29" s="8">
        <f t="shared" si="40"/>
        <v>317332</v>
      </c>
    </row>
    <row r="30" spans="1:17" x14ac:dyDescent="0.25">
      <c r="A30">
        <v>2013</v>
      </c>
      <c r="B30" s="4">
        <v>216051</v>
      </c>
      <c r="C30" s="4">
        <v>15648</v>
      </c>
      <c r="D30" s="4">
        <v>4179</v>
      </c>
      <c r="F30" s="4">
        <f t="shared" si="33"/>
        <v>231699</v>
      </c>
      <c r="G30" s="4">
        <f t="shared" si="0"/>
        <v>4179</v>
      </c>
      <c r="H30" s="17">
        <f t="shared" si="34"/>
        <v>235878</v>
      </c>
      <c r="J30">
        <v>2013</v>
      </c>
      <c r="K30" s="4">
        <f t="shared" si="35"/>
        <v>230153</v>
      </c>
      <c r="L30" s="4">
        <f t="shared" si="36"/>
        <v>26175</v>
      </c>
      <c r="M30" s="4">
        <f t="shared" si="37"/>
        <v>39382</v>
      </c>
      <c r="N30" s="4"/>
      <c r="O30" s="6">
        <f t="shared" si="38"/>
        <v>256328</v>
      </c>
      <c r="P30" s="4">
        <f t="shared" si="39"/>
        <v>39382</v>
      </c>
      <c r="Q30" s="8">
        <f t="shared" si="40"/>
        <v>295710</v>
      </c>
    </row>
    <row r="31" spans="1:17" x14ac:dyDescent="0.25">
      <c r="A31">
        <v>2014</v>
      </c>
      <c r="B31" s="4">
        <v>196735.18</v>
      </c>
      <c r="C31" s="4">
        <v>13848.175999999999</v>
      </c>
      <c r="D31" s="4">
        <v>4742.9049999999997</v>
      </c>
      <c r="F31" s="4">
        <f t="shared" si="33"/>
        <v>210583.356</v>
      </c>
      <c r="G31" s="4">
        <f t="shared" si="0"/>
        <v>4742.9049999999997</v>
      </c>
      <c r="H31" s="17">
        <f t="shared" si="34"/>
        <v>215326.261</v>
      </c>
      <c r="J31">
        <v>2014</v>
      </c>
      <c r="K31" s="4">
        <f t="shared" si="35"/>
        <v>211114.804</v>
      </c>
      <c r="L31" s="4">
        <f t="shared" si="36"/>
        <v>22736.186999999998</v>
      </c>
      <c r="M31" s="4">
        <f t="shared" si="37"/>
        <v>40231.252999999997</v>
      </c>
      <c r="N31" s="4"/>
      <c r="O31" s="6">
        <f t="shared" si="38"/>
        <v>233850.99100000001</v>
      </c>
      <c r="P31" s="4">
        <f t="shared" si="39"/>
        <v>40231.252999999997</v>
      </c>
      <c r="Q31" s="8">
        <f t="shared" si="40"/>
        <v>274082.24400000001</v>
      </c>
    </row>
    <row r="32" spans="1:17" x14ac:dyDescent="0.25">
      <c r="A32">
        <v>2015</v>
      </c>
      <c r="B32" s="4">
        <v>223553.62700000001</v>
      </c>
      <c r="C32" s="4">
        <v>13929.398999999999</v>
      </c>
      <c r="D32" s="4">
        <v>2809.5390000000002</v>
      </c>
      <c r="F32" s="4">
        <f t="shared" ref="F32:F38" si="41">B32+C32</f>
        <v>237483.02600000001</v>
      </c>
      <c r="G32" s="4">
        <f t="shared" ref="G32:G38" si="42">D32</f>
        <v>2809.5390000000002</v>
      </c>
      <c r="H32" s="17">
        <f t="shared" ref="H32:H38" si="43">F32+G32</f>
        <v>240292.565</v>
      </c>
      <c r="J32">
        <v>2015</v>
      </c>
      <c r="K32" s="4">
        <f t="shared" si="35"/>
        <v>238706.37100000004</v>
      </c>
      <c r="L32" s="4">
        <f t="shared" si="36"/>
        <v>21753.105000000003</v>
      </c>
      <c r="M32" s="4">
        <f t="shared" si="37"/>
        <v>22677.752</v>
      </c>
      <c r="N32" s="4"/>
      <c r="O32" s="6">
        <f t="shared" si="38"/>
        <v>260459.47600000005</v>
      </c>
      <c r="P32" s="4">
        <f t="shared" si="39"/>
        <v>22677.752</v>
      </c>
      <c r="Q32" s="8">
        <f t="shared" si="40"/>
        <v>283137.22800000006</v>
      </c>
    </row>
    <row r="33" spans="1:17" x14ac:dyDescent="0.25">
      <c r="A33">
        <v>2016</v>
      </c>
      <c r="B33" s="4">
        <v>207531.698</v>
      </c>
      <c r="C33" s="4">
        <v>14596.284</v>
      </c>
      <c r="D33" s="4">
        <v>3133.6790000000001</v>
      </c>
      <c r="F33" s="4">
        <f t="shared" si="41"/>
        <v>222127.98200000002</v>
      </c>
      <c r="G33" s="4">
        <f t="shared" si="42"/>
        <v>3133.6790000000001</v>
      </c>
      <c r="H33" s="17">
        <f t="shared" si="43"/>
        <v>225261.66100000002</v>
      </c>
      <c r="J33">
        <v>2016</v>
      </c>
      <c r="K33" s="4">
        <f t="shared" si="35"/>
        <v>224235.93899999998</v>
      </c>
      <c r="L33" s="4">
        <f t="shared" si="36"/>
        <v>23973.298999999999</v>
      </c>
      <c r="M33" s="4">
        <f t="shared" si="37"/>
        <v>25857.166999999998</v>
      </c>
      <c r="N33" s="4"/>
      <c r="O33" s="6">
        <f t="shared" si="38"/>
        <v>248209.23799999998</v>
      </c>
      <c r="P33" s="4">
        <f t="shared" si="39"/>
        <v>25857.166999999998</v>
      </c>
      <c r="Q33" s="8">
        <f t="shared" si="40"/>
        <v>274066.40499999997</v>
      </c>
    </row>
    <row r="34" spans="1:17" x14ac:dyDescent="0.25">
      <c r="A34">
        <v>2017</v>
      </c>
      <c r="B34" s="4">
        <v>244528.136</v>
      </c>
      <c r="C34" s="4">
        <v>14947.588</v>
      </c>
      <c r="D34" s="4">
        <v>4951.192</v>
      </c>
      <c r="F34" s="4">
        <f t="shared" si="41"/>
        <v>259475.72399999999</v>
      </c>
      <c r="G34" s="4">
        <f t="shared" si="42"/>
        <v>4951.192</v>
      </c>
      <c r="H34" s="17">
        <f t="shared" si="43"/>
        <v>264426.91599999997</v>
      </c>
      <c r="J34">
        <v>2017</v>
      </c>
      <c r="K34" s="4">
        <f t="shared" si="35"/>
        <v>259755.177</v>
      </c>
      <c r="L34" s="4">
        <f t="shared" si="36"/>
        <v>22667.108</v>
      </c>
      <c r="M34" s="4">
        <f t="shared" si="37"/>
        <v>38585.228999999999</v>
      </c>
      <c r="N34" s="4"/>
      <c r="O34" s="6">
        <f t="shared" ref="O34" si="44">K34+L34</f>
        <v>282422.28499999997</v>
      </c>
      <c r="P34" s="4">
        <f t="shared" ref="P34" si="45">M34</f>
        <v>38585.228999999999</v>
      </c>
      <c r="Q34" s="8">
        <f t="shared" ref="Q34" si="46">O34+P34</f>
        <v>321007.51399999997</v>
      </c>
    </row>
    <row r="35" spans="1:17" x14ac:dyDescent="0.25">
      <c r="A35">
        <v>2018</v>
      </c>
      <c r="B35" s="4">
        <v>223761</v>
      </c>
      <c r="C35" s="4">
        <v>15173</v>
      </c>
      <c r="D35" s="4">
        <v>4483</v>
      </c>
      <c r="F35" s="4">
        <f t="shared" si="41"/>
        <v>238934</v>
      </c>
      <c r="G35" s="4">
        <f t="shared" si="42"/>
        <v>4483</v>
      </c>
      <c r="H35" s="17">
        <f t="shared" si="43"/>
        <v>243417</v>
      </c>
      <c r="J35">
        <v>2018</v>
      </c>
      <c r="K35" s="4">
        <f t="shared" si="35"/>
        <v>241841</v>
      </c>
      <c r="L35" s="4">
        <f t="shared" si="36"/>
        <v>21965</v>
      </c>
      <c r="M35" s="4">
        <f t="shared" si="37"/>
        <v>37447</v>
      </c>
      <c r="N35" s="4"/>
      <c r="O35" s="6">
        <f t="shared" ref="O35" si="47">K35+L35</f>
        <v>263806</v>
      </c>
      <c r="P35" s="4">
        <f t="shared" ref="P35" si="48">M35</f>
        <v>37447</v>
      </c>
      <c r="Q35" s="8">
        <f t="shared" ref="Q35" si="49">O35+P35</f>
        <v>301253</v>
      </c>
    </row>
    <row r="36" spans="1:17" x14ac:dyDescent="0.25">
      <c r="A36">
        <v>2019</v>
      </c>
      <c r="B36" s="4">
        <v>218856.23699999999</v>
      </c>
      <c r="C36" s="4">
        <v>14365.623</v>
      </c>
      <c r="D36" s="4">
        <v>4350.1869999999999</v>
      </c>
      <c r="F36" s="4">
        <f t="shared" si="41"/>
        <v>233221.86</v>
      </c>
      <c r="G36" s="4">
        <f t="shared" si="42"/>
        <v>4350.1869999999999</v>
      </c>
      <c r="H36" s="17">
        <f t="shared" si="43"/>
        <v>237572.04699999999</v>
      </c>
      <c r="J36">
        <v>2019</v>
      </c>
      <c r="K36" s="4">
        <f t="shared" si="35"/>
        <v>238522.56399999998</v>
      </c>
      <c r="L36" s="4">
        <f t="shared" si="36"/>
        <v>23701.611999999997</v>
      </c>
      <c r="M36" s="4">
        <f t="shared" si="37"/>
        <v>34851.875</v>
      </c>
      <c r="N36" s="4"/>
      <c r="O36" s="6">
        <f t="shared" ref="O36" si="50">K36+L36</f>
        <v>262224.17599999998</v>
      </c>
      <c r="P36" s="4">
        <f t="shared" ref="P36" si="51">M36</f>
        <v>34851.875</v>
      </c>
      <c r="Q36" s="8">
        <f t="shared" ref="Q36" si="52">O36+P36</f>
        <v>297076.05099999998</v>
      </c>
    </row>
    <row r="37" spans="1:17" x14ac:dyDescent="0.25">
      <c r="A37">
        <v>2020</v>
      </c>
      <c r="B37" s="4">
        <v>193566.37899999999</v>
      </c>
      <c r="C37" s="4">
        <v>16450.019</v>
      </c>
      <c r="D37" s="4">
        <v>5053.1610000000001</v>
      </c>
      <c r="F37" s="4">
        <f t="shared" si="41"/>
        <v>210016.39799999999</v>
      </c>
      <c r="G37" s="4">
        <f t="shared" si="42"/>
        <v>5053.1610000000001</v>
      </c>
      <c r="H37" s="17">
        <f t="shared" si="43"/>
        <v>215069.55899999998</v>
      </c>
      <c r="J37">
        <v>2020</v>
      </c>
      <c r="K37" s="4">
        <f t="shared" si="35"/>
        <v>214513.78599999996</v>
      </c>
      <c r="L37" s="4">
        <f t="shared" si="36"/>
        <v>26681.832000000002</v>
      </c>
      <c r="M37" s="4">
        <f t="shared" si="37"/>
        <v>43931.485000000001</v>
      </c>
      <c r="N37" s="4"/>
      <c r="O37" s="6">
        <f t="shared" ref="O37:O38" si="53">K37+L37</f>
        <v>241195.61799999996</v>
      </c>
      <c r="P37" s="4">
        <f t="shared" ref="P37:P38" si="54">M37</f>
        <v>43931.485000000001</v>
      </c>
      <c r="Q37" s="8">
        <f t="shared" ref="Q37:Q38" si="55">O37+P37</f>
        <v>285127.10299999994</v>
      </c>
    </row>
    <row r="38" spans="1:17" x14ac:dyDescent="0.25">
      <c r="A38">
        <v>2021</v>
      </c>
      <c r="B38" s="4">
        <v>185351.80300000001</v>
      </c>
      <c r="C38" s="4">
        <v>15942.496999999999</v>
      </c>
      <c r="D38" s="4">
        <v>3290.424</v>
      </c>
      <c r="F38" s="4">
        <f t="shared" si="41"/>
        <v>201294.30000000002</v>
      </c>
      <c r="G38" s="4">
        <f t="shared" si="42"/>
        <v>3290.424</v>
      </c>
      <c r="H38" s="17">
        <f t="shared" si="43"/>
        <v>204584.72400000002</v>
      </c>
      <c r="J38">
        <v>2021</v>
      </c>
      <c r="K38" s="4">
        <f t="shared" si="35"/>
        <v>203767.75000000003</v>
      </c>
      <c r="L38" s="4">
        <f t="shared" si="36"/>
        <v>25658.18</v>
      </c>
      <c r="M38" s="4">
        <f t="shared" si="37"/>
        <v>31968.203999999998</v>
      </c>
      <c r="N38" s="4"/>
      <c r="O38" s="6">
        <f t="shared" si="53"/>
        <v>229425.93000000002</v>
      </c>
      <c r="P38" s="4">
        <f t="shared" si="54"/>
        <v>31968.203999999998</v>
      </c>
      <c r="Q38" s="8">
        <f t="shared" si="55"/>
        <v>261394.13400000002</v>
      </c>
    </row>
    <row r="39" spans="1:17" x14ac:dyDescent="0.25">
      <c r="A39">
        <v>2022</v>
      </c>
      <c r="B39" s="4">
        <v>203939.62299999999</v>
      </c>
      <c r="C39" s="4">
        <v>17394.702000000001</v>
      </c>
      <c r="D39" s="4">
        <v>5490.7610000000004</v>
      </c>
      <c r="F39" s="4">
        <f t="shared" ref="F39:F40" si="56">B39+C39</f>
        <v>221334.32499999998</v>
      </c>
      <c r="G39" s="4">
        <f t="shared" ref="G39:G40" si="57">D39</f>
        <v>5490.7610000000004</v>
      </c>
      <c r="H39" s="17">
        <f t="shared" ref="H39:H40" si="58">F39+G39</f>
        <v>226825.08599999998</v>
      </c>
      <c r="J39">
        <v>2022</v>
      </c>
      <c r="K39" s="4">
        <f t="shared" si="35"/>
        <v>224905.57499999998</v>
      </c>
      <c r="L39" s="4">
        <f t="shared" si="36"/>
        <v>27613.162000000004</v>
      </c>
      <c r="M39" s="4">
        <f t="shared" si="37"/>
        <v>49632.419000000002</v>
      </c>
      <c r="N39" s="4"/>
      <c r="O39" s="6">
        <f t="shared" ref="O39:O40" si="59">K39+L39</f>
        <v>252518.73699999999</v>
      </c>
      <c r="P39" s="4">
        <f t="shared" ref="P39:P40" si="60">M39</f>
        <v>49632.419000000002</v>
      </c>
      <c r="Q39" s="8">
        <f t="shared" ref="Q39:Q40" si="61">O39+P39</f>
        <v>302151.15600000002</v>
      </c>
    </row>
    <row r="40" spans="1:17" ht="15.75" thickBot="1" x14ac:dyDescent="0.3">
      <c r="A40">
        <v>2023</v>
      </c>
      <c r="B40" s="4">
        <v>184180.50700000001</v>
      </c>
      <c r="C40" s="4">
        <v>14527.773999999999</v>
      </c>
      <c r="D40" s="4">
        <v>3410.5410000000002</v>
      </c>
      <c r="F40" s="4">
        <f t="shared" si="56"/>
        <v>198708.28100000002</v>
      </c>
      <c r="G40" s="4">
        <f t="shared" si="57"/>
        <v>3410.5410000000002</v>
      </c>
      <c r="H40" s="17">
        <f t="shared" si="58"/>
        <v>202118.82200000001</v>
      </c>
      <c r="J40">
        <v>2023</v>
      </c>
      <c r="K40" s="4">
        <f t="shared" si="35"/>
        <v>203606.12300000002</v>
      </c>
      <c r="L40" s="4">
        <f t="shared" si="36"/>
        <v>23490.781999999999</v>
      </c>
      <c r="M40" s="4">
        <f t="shared" si="37"/>
        <v>31368.401000000002</v>
      </c>
      <c r="N40" s="4"/>
      <c r="O40" s="9">
        <f t="shared" si="59"/>
        <v>227096.90500000003</v>
      </c>
      <c r="P40" s="10">
        <f t="shared" si="60"/>
        <v>31368.401000000002</v>
      </c>
      <c r="Q40" s="11">
        <f t="shared" si="61"/>
        <v>258465.30600000004</v>
      </c>
    </row>
    <row r="41" spans="1:17" x14ac:dyDescent="0.25">
      <c r="F41" s="4"/>
      <c r="G41" s="4"/>
      <c r="H41" s="17"/>
      <c r="O41" s="4"/>
      <c r="P41" s="4"/>
      <c r="Q41" s="17"/>
    </row>
    <row r="42" spans="1:17" x14ac:dyDescent="0.25">
      <c r="F42" s="4"/>
      <c r="G42" s="4"/>
      <c r="H42" s="17"/>
      <c r="O42" s="4"/>
      <c r="P42" s="4"/>
      <c r="Q42" s="17"/>
    </row>
    <row r="43" spans="1:17" x14ac:dyDescent="0.25">
      <c r="F43" s="4"/>
      <c r="G43" s="4"/>
      <c r="H43" s="17"/>
      <c r="O43" s="4"/>
      <c r="P43" s="4"/>
      <c r="Q43" s="17"/>
    </row>
    <row r="44" spans="1:17" x14ac:dyDescent="0.25">
      <c r="F44" s="4"/>
      <c r="G44" s="4"/>
      <c r="H44" s="17"/>
      <c r="O44" s="4"/>
      <c r="P44" s="4"/>
      <c r="Q44" s="17"/>
    </row>
    <row r="45" spans="1:17" ht="15.75" thickBot="1" x14ac:dyDescent="0.3">
      <c r="F45" s="4"/>
      <c r="G45" s="4"/>
      <c r="H45" s="17"/>
      <c r="O45" s="4"/>
      <c r="P45" s="4"/>
      <c r="Q45" s="17"/>
    </row>
    <row r="46" spans="1:17" ht="15.75" thickBot="1" x14ac:dyDescent="0.3">
      <c r="A46" s="18" t="s">
        <v>8</v>
      </c>
      <c r="F46" s="4"/>
      <c r="G46" s="4"/>
      <c r="H46" s="17"/>
      <c r="J46" s="19" t="s">
        <v>13</v>
      </c>
      <c r="K46" s="20"/>
      <c r="O46" s="82"/>
      <c r="P46" s="4"/>
      <c r="Q46" s="17"/>
    </row>
    <row r="47" spans="1:17" x14ac:dyDescent="0.25">
      <c r="A47">
        <v>2008</v>
      </c>
      <c r="B47" s="4">
        <v>6463</v>
      </c>
      <c r="C47" s="4">
        <v>6563</v>
      </c>
      <c r="D47">
        <v>61</v>
      </c>
      <c r="F47" s="4">
        <f t="shared" si="33"/>
        <v>13026</v>
      </c>
      <c r="G47" s="4">
        <f t="shared" si="0"/>
        <v>61</v>
      </c>
      <c r="H47" s="17">
        <f t="shared" si="34"/>
        <v>13087</v>
      </c>
      <c r="J47">
        <v>2008</v>
      </c>
      <c r="K47" s="4">
        <f t="shared" ref="K47:L60" si="62">K3+K25</f>
        <v>266655</v>
      </c>
      <c r="L47" s="4">
        <f t="shared" si="62"/>
        <v>28815</v>
      </c>
      <c r="M47" s="4">
        <f t="shared" ref="M47" si="63">M3+M25</f>
        <v>112708</v>
      </c>
      <c r="N47" s="4"/>
      <c r="O47" s="12">
        <f>O3+O25</f>
        <v>295470</v>
      </c>
      <c r="P47" s="13">
        <f>P3+P25</f>
        <v>112708</v>
      </c>
      <c r="Q47" s="14">
        <f>O47+P47</f>
        <v>408178</v>
      </c>
    </row>
    <row r="48" spans="1:17" x14ac:dyDescent="0.25">
      <c r="A48">
        <v>2009</v>
      </c>
      <c r="B48" s="4">
        <v>6620</v>
      </c>
      <c r="C48" s="4">
        <v>5409</v>
      </c>
      <c r="D48">
        <v>65</v>
      </c>
      <c r="F48" s="4">
        <f t="shared" si="33"/>
        <v>12029</v>
      </c>
      <c r="G48" s="4">
        <f t="shared" si="0"/>
        <v>65</v>
      </c>
      <c r="H48" s="17">
        <f t="shared" si="34"/>
        <v>12094</v>
      </c>
      <c r="J48">
        <v>2009</v>
      </c>
      <c r="K48" s="4">
        <f t="shared" si="62"/>
        <v>243043</v>
      </c>
      <c r="L48" s="4">
        <f t="shared" si="62"/>
        <v>25326</v>
      </c>
      <c r="M48" s="4">
        <f>M4+M26</f>
        <v>108886</v>
      </c>
      <c r="N48" s="4"/>
      <c r="O48" s="6">
        <f t="shared" ref="O48:P48" si="64">O4+O26</f>
        <v>268369</v>
      </c>
      <c r="P48" s="4">
        <f t="shared" si="64"/>
        <v>108886</v>
      </c>
      <c r="Q48" s="8">
        <f t="shared" ref="Q48:Q55" si="65">O48+P48</f>
        <v>377255</v>
      </c>
    </row>
    <row r="49" spans="1:27" x14ac:dyDescent="0.25">
      <c r="A49">
        <v>2010</v>
      </c>
      <c r="B49" s="4">
        <v>5782</v>
      </c>
      <c r="C49" s="4">
        <v>5486</v>
      </c>
      <c r="D49">
        <v>33</v>
      </c>
      <c r="F49" s="4">
        <f t="shared" si="33"/>
        <v>11268</v>
      </c>
      <c r="G49" s="4">
        <f t="shared" si="0"/>
        <v>33</v>
      </c>
      <c r="H49" s="17">
        <f t="shared" si="34"/>
        <v>11301</v>
      </c>
      <c r="J49">
        <v>2010</v>
      </c>
      <c r="K49" s="4">
        <f t="shared" si="62"/>
        <v>255204</v>
      </c>
      <c r="L49" s="4">
        <f t="shared" si="62"/>
        <v>26187</v>
      </c>
      <c r="M49" s="4">
        <f>M5+M27</f>
        <v>72690</v>
      </c>
      <c r="N49" s="4"/>
      <c r="O49" s="6">
        <f t="shared" ref="O49:P49" si="66">O5+O27</f>
        <v>281391</v>
      </c>
      <c r="P49" s="4">
        <f t="shared" si="66"/>
        <v>72690</v>
      </c>
      <c r="Q49" s="8">
        <f t="shared" si="65"/>
        <v>354081</v>
      </c>
    </row>
    <row r="50" spans="1:27" x14ac:dyDescent="0.25">
      <c r="A50">
        <v>2011</v>
      </c>
      <c r="B50" s="4">
        <v>7880</v>
      </c>
      <c r="C50" s="4">
        <v>4296</v>
      </c>
      <c r="D50">
        <v>72</v>
      </c>
      <c r="F50" s="4">
        <f t="shared" si="33"/>
        <v>12176</v>
      </c>
      <c r="G50" s="4">
        <f t="shared" si="0"/>
        <v>72</v>
      </c>
      <c r="H50" s="17">
        <f t="shared" si="34"/>
        <v>12248</v>
      </c>
      <c r="I50" s="4"/>
      <c r="J50">
        <v>2011</v>
      </c>
      <c r="K50" s="4">
        <f t="shared" si="62"/>
        <v>260331</v>
      </c>
      <c r="L50" s="4">
        <f t="shared" si="62"/>
        <v>23392</v>
      </c>
      <c r="M50" s="4">
        <f>M6+M28</f>
        <v>124905</v>
      </c>
      <c r="N50" s="4"/>
      <c r="O50" s="6">
        <f t="shared" ref="O50:P50" si="67">O6+O28</f>
        <v>283723</v>
      </c>
      <c r="P50" s="4">
        <f t="shared" si="67"/>
        <v>124905</v>
      </c>
      <c r="Q50" s="8">
        <f t="shared" si="65"/>
        <v>408628</v>
      </c>
      <c r="R50" s="4"/>
      <c r="S50" s="4"/>
      <c r="T50" s="4"/>
      <c r="W50" s="4"/>
      <c r="X50" s="4"/>
      <c r="Y50" s="4"/>
      <c r="Z50" s="4"/>
      <c r="AA50" s="4"/>
    </row>
    <row r="51" spans="1:27" x14ac:dyDescent="0.25">
      <c r="A51">
        <v>2012</v>
      </c>
      <c r="B51" s="4">
        <v>6235</v>
      </c>
      <c r="C51" s="4">
        <v>4849</v>
      </c>
      <c r="D51">
        <v>78</v>
      </c>
      <c r="F51" s="4">
        <f t="shared" si="33"/>
        <v>11084</v>
      </c>
      <c r="G51" s="4">
        <f t="shared" si="0"/>
        <v>78</v>
      </c>
      <c r="H51" s="17">
        <f t="shared" si="34"/>
        <v>11162</v>
      </c>
      <c r="J51">
        <v>2012</v>
      </c>
      <c r="K51" s="4">
        <f t="shared" si="62"/>
        <v>257877</v>
      </c>
      <c r="L51" s="4">
        <f t="shared" si="62"/>
        <v>22560</v>
      </c>
      <c r="M51" s="4">
        <f>M7+M29</f>
        <v>90556</v>
      </c>
      <c r="N51" s="4"/>
      <c r="O51" s="6">
        <f t="shared" ref="O51:P51" si="68">O7+O29</f>
        <v>280437</v>
      </c>
      <c r="P51" s="4">
        <f t="shared" si="68"/>
        <v>90556</v>
      </c>
      <c r="Q51" s="8">
        <f t="shared" si="65"/>
        <v>370993</v>
      </c>
    </row>
    <row r="52" spans="1:27" x14ac:dyDescent="0.25">
      <c r="A52">
        <v>2013</v>
      </c>
      <c r="B52" s="4">
        <v>5781</v>
      </c>
      <c r="C52" s="4">
        <v>7061</v>
      </c>
      <c r="D52">
        <v>63</v>
      </c>
      <c r="F52" s="4">
        <f t="shared" si="33"/>
        <v>12842</v>
      </c>
      <c r="G52" s="4">
        <f t="shared" si="0"/>
        <v>63</v>
      </c>
      <c r="H52" s="17">
        <f t="shared" si="34"/>
        <v>12905</v>
      </c>
      <c r="J52">
        <v>2013</v>
      </c>
      <c r="K52" s="4">
        <f t="shared" si="62"/>
        <v>234023</v>
      </c>
      <c r="L52" s="4">
        <f t="shared" si="62"/>
        <v>26270</v>
      </c>
      <c r="M52" s="4">
        <f>M8+M30</f>
        <v>76341</v>
      </c>
      <c r="N52" s="4"/>
      <c r="O52" s="6">
        <f t="shared" ref="O52:P52" si="69">O8+O30</f>
        <v>260293</v>
      </c>
      <c r="P52" s="4">
        <f t="shared" si="69"/>
        <v>76341</v>
      </c>
      <c r="Q52" s="8">
        <f t="shared" si="65"/>
        <v>336634</v>
      </c>
    </row>
    <row r="53" spans="1:27" x14ac:dyDescent="0.25">
      <c r="A53">
        <v>2014</v>
      </c>
      <c r="B53" s="4">
        <v>5757.9549999999999</v>
      </c>
      <c r="C53" s="4">
        <v>5495.6790000000001</v>
      </c>
      <c r="D53" s="28">
        <v>63.414999999999999</v>
      </c>
      <c r="F53" s="4">
        <f t="shared" si="33"/>
        <v>11253.634</v>
      </c>
      <c r="G53" s="4">
        <f t="shared" si="0"/>
        <v>63.414999999999999</v>
      </c>
      <c r="H53" s="17">
        <f t="shared" si="34"/>
        <v>11317.049000000001</v>
      </c>
      <c r="J53">
        <v>2014</v>
      </c>
      <c r="K53" s="4">
        <f t="shared" si="62"/>
        <v>214814.88800000001</v>
      </c>
      <c r="L53" s="4">
        <f t="shared" si="62"/>
        <v>22845.356</v>
      </c>
      <c r="M53" s="4">
        <f t="shared" ref="M53" si="70">M9+M31</f>
        <v>75288.367999999988</v>
      </c>
      <c r="N53" s="4"/>
      <c r="O53" s="6">
        <f t="shared" ref="O53:P53" si="71">O9+O31</f>
        <v>237660.24400000001</v>
      </c>
      <c r="P53" s="4">
        <f t="shared" si="71"/>
        <v>75288.367999999988</v>
      </c>
      <c r="Q53" s="8">
        <f t="shared" si="65"/>
        <v>312948.61199999996</v>
      </c>
    </row>
    <row r="54" spans="1:27" x14ac:dyDescent="0.25">
      <c r="A54">
        <v>2015</v>
      </c>
      <c r="B54" s="4">
        <v>6146.0919999999996</v>
      </c>
      <c r="C54" s="4">
        <v>4472.1220000000003</v>
      </c>
      <c r="D54" s="28">
        <v>43.829000000000001</v>
      </c>
      <c r="F54" s="4">
        <f t="shared" si="33"/>
        <v>10618.214</v>
      </c>
      <c r="G54" s="4">
        <f t="shared" si="0"/>
        <v>43.829000000000001</v>
      </c>
      <c r="H54" s="17">
        <f t="shared" si="34"/>
        <v>10662.043</v>
      </c>
      <c r="J54">
        <v>2015</v>
      </c>
      <c r="K54" s="4">
        <f t="shared" si="62"/>
        <v>241858.58300000004</v>
      </c>
      <c r="L54" s="4">
        <f t="shared" si="62"/>
        <v>21886.842000000004</v>
      </c>
      <c r="M54" s="4">
        <f t="shared" ref="M54:M62" si="72">M10+M32</f>
        <v>41761.933000000005</v>
      </c>
      <c r="N54" s="4"/>
      <c r="O54" s="6">
        <f t="shared" ref="O54:P54" si="73">O10+O32</f>
        <v>263745.42500000005</v>
      </c>
      <c r="P54" s="4">
        <f t="shared" si="73"/>
        <v>41761.933000000005</v>
      </c>
      <c r="Q54" s="8">
        <f t="shared" si="65"/>
        <v>305507.35800000007</v>
      </c>
    </row>
    <row r="55" spans="1:27" x14ac:dyDescent="0.25">
      <c r="A55">
        <v>2016</v>
      </c>
      <c r="B55" s="4">
        <v>6305.1750000000002</v>
      </c>
      <c r="C55" s="4">
        <v>4024.5410000000002</v>
      </c>
      <c r="D55" s="28">
        <v>46.460999999999999</v>
      </c>
      <c r="F55" s="4">
        <f t="shared" si="33"/>
        <v>10329.716</v>
      </c>
      <c r="G55" s="4">
        <f t="shared" si="0"/>
        <v>46.460999999999999</v>
      </c>
      <c r="H55" s="17">
        <f t="shared" si="34"/>
        <v>10376.177</v>
      </c>
      <c r="J55">
        <v>2016</v>
      </c>
      <c r="K55" s="4">
        <f t="shared" si="62"/>
        <v>227248.57799999998</v>
      </c>
      <c r="L55" s="4">
        <f t="shared" si="62"/>
        <v>24076.486999999997</v>
      </c>
      <c r="M55" s="4">
        <f t="shared" si="72"/>
        <v>54669.03</v>
      </c>
      <c r="N55" s="4"/>
      <c r="O55" s="6">
        <f t="shared" ref="O55:P60" si="74">O11+O33</f>
        <v>251325.06499999997</v>
      </c>
      <c r="P55" s="4">
        <f t="shared" si="74"/>
        <v>54669.03</v>
      </c>
      <c r="Q55" s="8">
        <f t="shared" si="65"/>
        <v>305994.09499999997</v>
      </c>
    </row>
    <row r="56" spans="1:27" x14ac:dyDescent="0.25">
      <c r="A56">
        <v>2017</v>
      </c>
      <c r="B56" s="4">
        <v>4991.259</v>
      </c>
      <c r="C56" s="4">
        <v>2815.8519999999999</v>
      </c>
      <c r="D56" s="28">
        <v>41.518000000000001</v>
      </c>
      <c r="F56" s="4">
        <f t="shared" ref="F56:F60" si="75">B56+C56</f>
        <v>7807.1109999999999</v>
      </c>
      <c r="G56" s="4">
        <f t="shared" ref="G56:G60" si="76">D56</f>
        <v>41.518000000000001</v>
      </c>
      <c r="H56" s="17">
        <f t="shared" ref="H56:H60" si="77">F56+G56</f>
        <v>7848.6289999999999</v>
      </c>
      <c r="J56">
        <v>2017</v>
      </c>
      <c r="K56" s="4">
        <f t="shared" si="62"/>
        <v>262937.283</v>
      </c>
      <c r="L56" s="4">
        <f t="shared" si="62"/>
        <v>22795.223000000002</v>
      </c>
      <c r="M56" s="4">
        <f t="shared" si="72"/>
        <v>74119.466</v>
      </c>
      <c r="N56" s="4"/>
      <c r="O56" s="6">
        <f t="shared" si="74"/>
        <v>285732.50599999999</v>
      </c>
      <c r="P56" s="4">
        <f t="shared" si="74"/>
        <v>74119.466</v>
      </c>
      <c r="Q56" s="8">
        <f t="shared" ref="Q56" si="78">O56+P56</f>
        <v>359851.97200000001</v>
      </c>
    </row>
    <row r="57" spans="1:27" x14ac:dyDescent="0.25">
      <c r="A57">
        <v>2018</v>
      </c>
      <c r="B57" s="4">
        <v>7718</v>
      </c>
      <c r="C57" s="4">
        <v>2468</v>
      </c>
      <c r="D57" s="28">
        <v>55</v>
      </c>
      <c r="F57" s="4">
        <f t="shared" si="75"/>
        <v>10186</v>
      </c>
      <c r="G57" s="4">
        <f t="shared" si="76"/>
        <v>55</v>
      </c>
      <c r="H57" s="17">
        <f t="shared" si="77"/>
        <v>10241</v>
      </c>
      <c r="J57">
        <v>2018</v>
      </c>
      <c r="K57" s="4">
        <f t="shared" si="62"/>
        <v>245092</v>
      </c>
      <c r="L57" s="4">
        <f t="shared" si="62"/>
        <v>22098</v>
      </c>
      <c r="M57" s="4">
        <f t="shared" si="72"/>
        <v>83950</v>
      </c>
      <c r="N57" s="4"/>
      <c r="O57" s="6">
        <f t="shared" si="74"/>
        <v>267190</v>
      </c>
      <c r="P57" s="4">
        <f t="shared" si="74"/>
        <v>83950</v>
      </c>
      <c r="Q57" s="8">
        <f t="shared" ref="Q57" si="79">O57+P57</f>
        <v>351140</v>
      </c>
    </row>
    <row r="58" spans="1:27" x14ac:dyDescent="0.25">
      <c r="A58">
        <v>2019</v>
      </c>
      <c r="B58" s="4">
        <v>8475.8240000000005</v>
      </c>
      <c r="C58" s="4">
        <v>4335.585</v>
      </c>
      <c r="D58" s="28">
        <v>57.908000000000001</v>
      </c>
      <c r="F58" s="4">
        <f t="shared" si="75"/>
        <v>12811.409</v>
      </c>
      <c r="G58" s="4">
        <f t="shared" si="76"/>
        <v>57.908000000000001</v>
      </c>
      <c r="H58" s="17">
        <f t="shared" si="77"/>
        <v>12869.316999999999</v>
      </c>
      <c r="J58">
        <v>2019</v>
      </c>
      <c r="K58" s="4">
        <f t="shared" si="62"/>
        <v>241488.95099999997</v>
      </c>
      <c r="L58" s="4">
        <f t="shared" si="62"/>
        <v>23802.585999999996</v>
      </c>
      <c r="M58" s="4">
        <f t="shared" si="72"/>
        <v>73728.097999999998</v>
      </c>
      <c r="N58" s="4"/>
      <c r="O58" s="6">
        <f t="shared" si="74"/>
        <v>265291.53699999995</v>
      </c>
      <c r="P58" s="4">
        <f t="shared" si="74"/>
        <v>73728.097999999998</v>
      </c>
      <c r="Q58" s="8">
        <f t="shared" ref="Q58" si="80">O58+P58</f>
        <v>339019.63499999995</v>
      </c>
    </row>
    <row r="59" spans="1:27" x14ac:dyDescent="0.25">
      <c r="A59">
        <v>2020</v>
      </c>
      <c r="B59" s="4">
        <v>9808.8029999999999</v>
      </c>
      <c r="C59" s="4">
        <v>4106.4930000000004</v>
      </c>
      <c r="D59" s="28">
        <v>71.167000000000002</v>
      </c>
      <c r="F59" s="4">
        <f t="shared" si="75"/>
        <v>13915.296</v>
      </c>
      <c r="G59" s="4">
        <f t="shared" si="76"/>
        <v>71.167000000000002</v>
      </c>
      <c r="H59" s="17">
        <f t="shared" si="77"/>
        <v>13986.463</v>
      </c>
      <c r="J59">
        <v>2020</v>
      </c>
      <c r="K59" s="4">
        <f t="shared" si="62"/>
        <v>217990.77699999997</v>
      </c>
      <c r="L59" s="4">
        <f t="shared" si="62"/>
        <v>26782.156000000003</v>
      </c>
      <c r="M59" s="4">
        <f t="shared" si="72"/>
        <v>97684.34</v>
      </c>
      <c r="N59" s="4"/>
      <c r="O59" s="6">
        <f t="shared" si="74"/>
        <v>244772.93299999996</v>
      </c>
      <c r="P59" s="4">
        <f t="shared" si="74"/>
        <v>97684.34</v>
      </c>
      <c r="Q59" s="8">
        <f t="shared" ref="Q59" si="81">O59+P59</f>
        <v>342457.27299999993</v>
      </c>
    </row>
    <row r="60" spans="1:27" x14ac:dyDescent="0.25">
      <c r="A60">
        <v>2021</v>
      </c>
      <c r="B60" s="4">
        <v>7696.5190000000002</v>
      </c>
      <c r="C60" s="4">
        <v>4421.79</v>
      </c>
      <c r="D60" s="28">
        <v>43.393000000000001</v>
      </c>
      <c r="F60" s="4">
        <f t="shared" si="75"/>
        <v>12118.309000000001</v>
      </c>
      <c r="G60" s="4">
        <f t="shared" si="76"/>
        <v>43.393000000000001</v>
      </c>
      <c r="H60" s="17">
        <f t="shared" si="77"/>
        <v>12161.702000000001</v>
      </c>
      <c r="J60">
        <v>2021</v>
      </c>
      <c r="K60" s="4">
        <f t="shared" si="62"/>
        <v>206580.27600000004</v>
      </c>
      <c r="L60" s="4">
        <f t="shared" si="62"/>
        <v>25744.463</v>
      </c>
      <c r="M60" s="4">
        <f t="shared" si="72"/>
        <v>74283.284</v>
      </c>
      <c r="N60" s="4"/>
      <c r="O60" s="6">
        <f t="shared" si="74"/>
        <v>232324.73900000003</v>
      </c>
      <c r="P60" s="4">
        <f t="shared" si="74"/>
        <v>74283.284</v>
      </c>
      <c r="Q60" s="8">
        <f t="shared" ref="Q60:Q61" si="82">O60+P60</f>
        <v>306608.02300000004</v>
      </c>
    </row>
    <row r="61" spans="1:27" x14ac:dyDescent="0.25">
      <c r="A61">
        <v>2022</v>
      </c>
      <c r="B61" s="4">
        <v>7496.2780000000002</v>
      </c>
      <c r="C61" s="4">
        <v>4038.3809999999999</v>
      </c>
      <c r="D61" s="28">
        <v>86.82</v>
      </c>
      <c r="F61" s="4">
        <f t="shared" ref="F61:F62" si="83">B61+C61</f>
        <v>11534.659</v>
      </c>
      <c r="G61" s="4">
        <f t="shared" ref="G61:G62" si="84">D61</f>
        <v>86.82</v>
      </c>
      <c r="H61" s="17">
        <f t="shared" ref="H61:H62" si="85">F61+G61</f>
        <v>11621.478999999999</v>
      </c>
      <c r="J61">
        <v>2022</v>
      </c>
      <c r="K61" s="4">
        <f t="shared" ref="K61:L61" si="86">K17+K39</f>
        <v>228121.92099999997</v>
      </c>
      <c r="L61" s="4">
        <f t="shared" si="86"/>
        <v>27727.264000000003</v>
      </c>
      <c r="M61" s="4">
        <f t="shared" si="72"/>
        <v>111023.973</v>
      </c>
      <c r="N61" s="4"/>
      <c r="O61" s="6">
        <f t="shared" ref="O61:P61" si="87">O17+O39</f>
        <v>255849.185</v>
      </c>
      <c r="P61" s="4">
        <f t="shared" si="87"/>
        <v>111023.973</v>
      </c>
      <c r="Q61" s="8">
        <f t="shared" si="82"/>
        <v>366873.158</v>
      </c>
    </row>
    <row r="62" spans="1:27" x14ac:dyDescent="0.25">
      <c r="A62">
        <v>2023</v>
      </c>
      <c r="B62" s="4">
        <v>6929.5789999999997</v>
      </c>
      <c r="C62" s="4">
        <v>3021.1570000000002</v>
      </c>
      <c r="D62" s="28">
        <v>64.372</v>
      </c>
      <c r="F62" s="4">
        <f t="shared" si="83"/>
        <v>9950.7360000000008</v>
      </c>
      <c r="G62" s="4">
        <f t="shared" si="84"/>
        <v>64.372</v>
      </c>
      <c r="H62" s="17">
        <f t="shared" si="85"/>
        <v>10015.108</v>
      </c>
      <c r="J62">
        <v>2023</v>
      </c>
      <c r="K62" s="4">
        <f t="shared" ref="K62:L62" si="88">K18+K40</f>
        <v>206607.09100000001</v>
      </c>
      <c r="L62" s="4">
        <f t="shared" si="88"/>
        <v>23614.508999999998</v>
      </c>
      <c r="M62" s="4">
        <f t="shared" si="72"/>
        <v>69764.98</v>
      </c>
      <c r="N62" s="4"/>
      <c r="O62" s="6">
        <f t="shared" ref="O62:P62" si="89">O18+O40</f>
        <v>230221.60000000003</v>
      </c>
      <c r="P62" s="4">
        <f t="shared" si="89"/>
        <v>69764.98</v>
      </c>
      <c r="Q62" s="8">
        <f t="shared" ref="Q62" si="90">O62+P62</f>
        <v>299986.58</v>
      </c>
    </row>
    <row r="63" spans="1:27" x14ac:dyDescent="0.25">
      <c r="B63" s="4"/>
      <c r="F63" s="4"/>
      <c r="G63" s="4"/>
      <c r="H63" s="17"/>
      <c r="L63" s="4"/>
      <c r="O63" s="4"/>
      <c r="P63" s="4"/>
      <c r="Q63" s="17"/>
    </row>
    <row r="64" spans="1:27" x14ac:dyDescent="0.25">
      <c r="B64" s="4"/>
      <c r="F64" s="4"/>
      <c r="G64" s="4"/>
      <c r="H64" s="17"/>
      <c r="L64" s="4"/>
      <c r="O64" s="4"/>
      <c r="P64" s="4"/>
      <c r="Q64" s="17"/>
    </row>
    <row r="65" spans="1:17" x14ac:dyDescent="0.25">
      <c r="B65" s="4"/>
      <c r="F65" s="4"/>
      <c r="G65" s="4"/>
      <c r="H65" s="17"/>
      <c r="L65" s="4"/>
      <c r="O65" s="4"/>
      <c r="P65" s="4"/>
      <c r="Q65" s="17"/>
    </row>
    <row r="66" spans="1:17" x14ac:dyDescent="0.25">
      <c r="B66" s="4"/>
      <c r="F66" s="4"/>
      <c r="G66" s="4"/>
      <c r="H66" s="17"/>
      <c r="L66" s="4"/>
      <c r="O66" s="4"/>
      <c r="P66" s="4"/>
      <c r="Q66" s="17"/>
    </row>
    <row r="67" spans="1:17" x14ac:dyDescent="0.25">
      <c r="B67" s="4"/>
      <c r="F67" s="4"/>
      <c r="G67" s="4"/>
      <c r="H67" s="17"/>
      <c r="L67" s="4"/>
      <c r="O67" s="4"/>
      <c r="P67" s="4"/>
      <c r="Q67" s="17"/>
    </row>
    <row r="68" spans="1:17" x14ac:dyDescent="0.25">
      <c r="A68" s="18" t="s">
        <v>10</v>
      </c>
      <c r="F68" s="4"/>
      <c r="G68" s="4"/>
      <c r="H68" s="17"/>
      <c r="J68" s="18"/>
      <c r="O68" s="4"/>
      <c r="P68" s="4"/>
      <c r="Q68" s="17"/>
    </row>
    <row r="69" spans="1:17" x14ac:dyDescent="0.25">
      <c r="A69">
        <v>2008</v>
      </c>
      <c r="B69">
        <v>132</v>
      </c>
      <c r="C69">
        <v>236</v>
      </c>
      <c r="D69">
        <v>3</v>
      </c>
      <c r="F69" s="4">
        <f t="shared" si="33"/>
        <v>368</v>
      </c>
      <c r="G69" s="4">
        <f t="shared" si="0"/>
        <v>3</v>
      </c>
      <c r="H69" s="17">
        <f t="shared" si="34"/>
        <v>371</v>
      </c>
      <c r="K69" s="4"/>
      <c r="L69" s="4"/>
      <c r="O69" s="4"/>
      <c r="P69" s="4"/>
      <c r="Q69" s="17"/>
    </row>
    <row r="70" spans="1:17" x14ac:dyDescent="0.25">
      <c r="A70">
        <v>2009</v>
      </c>
      <c r="B70">
        <v>161</v>
      </c>
      <c r="C70">
        <v>210</v>
      </c>
      <c r="D70">
        <v>1</v>
      </c>
      <c r="F70" s="4">
        <f t="shared" si="33"/>
        <v>371</v>
      </c>
      <c r="G70" s="4">
        <f t="shared" si="0"/>
        <v>1</v>
      </c>
      <c r="H70" s="17">
        <f t="shared" si="34"/>
        <v>372</v>
      </c>
      <c r="K70" s="1" t="s">
        <v>2</v>
      </c>
      <c r="L70" s="1" t="s">
        <v>1</v>
      </c>
      <c r="M70" s="1" t="s">
        <v>4</v>
      </c>
      <c r="O70" s="4"/>
      <c r="P70" s="4"/>
      <c r="Q70" s="17"/>
    </row>
    <row r="71" spans="1:17" x14ac:dyDescent="0.25">
      <c r="A71">
        <v>2010</v>
      </c>
      <c r="B71">
        <v>150</v>
      </c>
      <c r="C71">
        <v>197</v>
      </c>
      <c r="D71">
        <v>1</v>
      </c>
      <c r="F71" s="4">
        <f t="shared" si="33"/>
        <v>347</v>
      </c>
      <c r="G71" s="4">
        <f t="shared" si="0"/>
        <v>1</v>
      </c>
      <c r="H71" s="17">
        <f t="shared" si="34"/>
        <v>348</v>
      </c>
      <c r="J71">
        <v>2008</v>
      </c>
      <c r="K71" s="4">
        <v>266655</v>
      </c>
      <c r="L71" s="4">
        <v>28815</v>
      </c>
      <c r="M71" s="4">
        <v>112708</v>
      </c>
      <c r="O71" s="4"/>
      <c r="P71" s="4"/>
      <c r="Q71" s="17"/>
    </row>
    <row r="72" spans="1:17" x14ac:dyDescent="0.25">
      <c r="A72">
        <v>2011</v>
      </c>
      <c r="B72">
        <v>132</v>
      </c>
      <c r="C72">
        <v>216</v>
      </c>
      <c r="D72">
        <v>1</v>
      </c>
      <c r="F72" s="4">
        <f t="shared" si="33"/>
        <v>348</v>
      </c>
      <c r="G72" s="4">
        <f t="shared" si="0"/>
        <v>1</v>
      </c>
      <c r="H72" s="17">
        <f t="shared" si="34"/>
        <v>349</v>
      </c>
      <c r="J72">
        <v>2009</v>
      </c>
      <c r="K72" s="4">
        <v>243043</v>
      </c>
      <c r="L72" s="4">
        <v>25326</v>
      </c>
      <c r="M72" s="4">
        <v>108886</v>
      </c>
      <c r="O72" s="4"/>
      <c r="P72" s="4"/>
      <c r="Q72" s="17"/>
    </row>
    <row r="73" spans="1:17" x14ac:dyDescent="0.25">
      <c r="A73">
        <v>2012</v>
      </c>
      <c r="B73">
        <v>114</v>
      </c>
      <c r="C73">
        <v>28</v>
      </c>
      <c r="D73">
        <v>1</v>
      </c>
      <c r="F73" s="4">
        <f t="shared" si="33"/>
        <v>142</v>
      </c>
      <c r="G73" s="4">
        <f t="shared" si="0"/>
        <v>1</v>
      </c>
      <c r="H73" s="17">
        <f t="shared" si="34"/>
        <v>143</v>
      </c>
      <c r="J73">
        <v>2010</v>
      </c>
      <c r="K73" s="4">
        <v>255204</v>
      </c>
      <c r="L73" s="4">
        <v>26187</v>
      </c>
      <c r="M73" s="4">
        <v>72690</v>
      </c>
      <c r="O73" s="4"/>
      <c r="P73" s="4"/>
      <c r="Q73" s="17"/>
    </row>
    <row r="74" spans="1:17" x14ac:dyDescent="0.25">
      <c r="A74">
        <v>2013</v>
      </c>
      <c r="B74">
        <v>69</v>
      </c>
      <c r="C74">
        <v>167</v>
      </c>
      <c r="D74">
        <v>0</v>
      </c>
      <c r="F74" s="4">
        <f t="shared" si="33"/>
        <v>236</v>
      </c>
      <c r="G74" s="4">
        <f t="shared" si="0"/>
        <v>0</v>
      </c>
      <c r="H74" s="17">
        <f t="shared" si="34"/>
        <v>236</v>
      </c>
      <c r="J74">
        <v>2011</v>
      </c>
      <c r="K74" s="4">
        <v>260331</v>
      </c>
      <c r="L74" s="4">
        <v>23392</v>
      </c>
      <c r="M74" s="4">
        <v>124905</v>
      </c>
      <c r="O74" s="4"/>
      <c r="P74" s="4"/>
      <c r="Q74" s="17"/>
    </row>
    <row r="75" spans="1:17" x14ac:dyDescent="0.25">
      <c r="A75">
        <v>2014</v>
      </c>
      <c r="B75" s="28">
        <v>6.29</v>
      </c>
      <c r="C75" s="28">
        <v>220.904</v>
      </c>
      <c r="D75" s="28">
        <v>0</v>
      </c>
      <c r="F75" s="4">
        <f t="shared" si="33"/>
        <v>227.19399999999999</v>
      </c>
      <c r="G75" s="4">
        <f t="shared" si="0"/>
        <v>0</v>
      </c>
      <c r="H75" s="17">
        <f t="shared" si="34"/>
        <v>227.19399999999999</v>
      </c>
      <c r="J75">
        <v>2012</v>
      </c>
      <c r="K75" s="4">
        <v>257877</v>
      </c>
      <c r="L75" s="4">
        <v>22560</v>
      </c>
      <c r="M75" s="4">
        <v>90556</v>
      </c>
      <c r="O75" s="4"/>
      <c r="P75" s="4"/>
      <c r="Q75" s="17"/>
    </row>
    <row r="76" spans="1:17" x14ac:dyDescent="0.25">
      <c r="A76">
        <v>2015</v>
      </c>
      <c r="B76" s="28">
        <v>4.07</v>
      </c>
      <c r="C76" s="28">
        <v>173.43199999999999</v>
      </c>
      <c r="D76" s="28">
        <v>0</v>
      </c>
      <c r="F76" s="4">
        <f t="shared" si="33"/>
        <v>177.50199999999998</v>
      </c>
      <c r="G76" s="4">
        <f t="shared" si="0"/>
        <v>0</v>
      </c>
      <c r="H76" s="17">
        <f t="shared" si="34"/>
        <v>177.50199999999998</v>
      </c>
      <c r="J76">
        <v>2013</v>
      </c>
      <c r="K76" s="4">
        <v>234023</v>
      </c>
      <c r="L76" s="4">
        <v>26270</v>
      </c>
      <c r="M76" s="4">
        <v>76341</v>
      </c>
      <c r="O76" s="4"/>
      <c r="P76" s="4"/>
      <c r="Q76" s="17"/>
    </row>
    <row r="77" spans="1:17" x14ac:dyDescent="0.25">
      <c r="A77">
        <v>2016</v>
      </c>
      <c r="B77" s="28">
        <v>4.03</v>
      </c>
      <c r="C77" s="28">
        <v>184.44499999999999</v>
      </c>
      <c r="D77" s="28">
        <v>0</v>
      </c>
      <c r="F77" s="4">
        <f t="shared" si="33"/>
        <v>188.47499999999999</v>
      </c>
      <c r="G77" s="4">
        <f t="shared" si="0"/>
        <v>0</v>
      </c>
      <c r="H77" s="17">
        <f t="shared" si="34"/>
        <v>188.47499999999999</v>
      </c>
      <c r="J77">
        <v>2014</v>
      </c>
      <c r="K77" s="4">
        <v>214814.88800000001</v>
      </c>
      <c r="L77" s="4">
        <v>22845.356</v>
      </c>
      <c r="M77" s="4">
        <v>75288.367999999988</v>
      </c>
      <c r="O77" s="4"/>
      <c r="P77" s="4"/>
      <c r="Q77" s="17"/>
    </row>
    <row r="78" spans="1:17" x14ac:dyDescent="0.25">
      <c r="A78">
        <v>2017</v>
      </c>
      <c r="B78" s="28">
        <v>6.1529999999999996</v>
      </c>
      <c r="C78" s="28">
        <v>184.18700000000001</v>
      </c>
      <c r="D78" s="28">
        <v>0</v>
      </c>
      <c r="F78" s="4">
        <f t="shared" ref="F78:F82" si="91">B78+C78</f>
        <v>190.34</v>
      </c>
      <c r="G78" s="4">
        <f t="shared" ref="G78:G82" si="92">D78</f>
        <v>0</v>
      </c>
      <c r="H78" s="17">
        <f t="shared" ref="H78:H82" si="93">F78+G78</f>
        <v>190.34</v>
      </c>
      <c r="J78">
        <v>2015</v>
      </c>
      <c r="K78" s="4">
        <v>241858.58300000004</v>
      </c>
      <c r="L78" s="4">
        <v>21886.842000000004</v>
      </c>
      <c r="M78" s="4">
        <v>41761.933000000005</v>
      </c>
      <c r="O78" s="4"/>
      <c r="P78" s="4"/>
      <c r="Q78" s="17"/>
    </row>
    <row r="79" spans="1:17" x14ac:dyDescent="0.25">
      <c r="A79">
        <v>2018</v>
      </c>
      <c r="B79" s="28">
        <v>6</v>
      </c>
      <c r="C79" s="28">
        <v>169</v>
      </c>
      <c r="D79" s="28">
        <v>0</v>
      </c>
      <c r="F79" s="4">
        <f t="shared" si="91"/>
        <v>175</v>
      </c>
      <c r="G79" s="4">
        <f t="shared" si="92"/>
        <v>0</v>
      </c>
      <c r="H79" s="17">
        <f t="shared" si="93"/>
        <v>175</v>
      </c>
      <c r="J79">
        <v>2016</v>
      </c>
      <c r="K79" s="4">
        <v>227248.57799999998</v>
      </c>
      <c r="L79" s="4">
        <v>24076.486999999997</v>
      </c>
      <c r="M79" s="4">
        <v>54669.03</v>
      </c>
      <c r="O79" s="4"/>
      <c r="P79" s="4"/>
      <c r="Q79" s="17"/>
    </row>
    <row r="80" spans="1:17" x14ac:dyDescent="0.25">
      <c r="A80">
        <v>2019</v>
      </c>
      <c r="B80" s="28">
        <v>11.31</v>
      </c>
      <c r="C80" s="28">
        <v>213.285</v>
      </c>
      <c r="D80" s="28">
        <v>0</v>
      </c>
      <c r="F80" s="4">
        <f t="shared" si="91"/>
        <v>224.595</v>
      </c>
      <c r="G80" s="4">
        <f t="shared" si="92"/>
        <v>0</v>
      </c>
      <c r="H80" s="17">
        <f t="shared" si="93"/>
        <v>224.595</v>
      </c>
      <c r="J80">
        <v>2017</v>
      </c>
      <c r="K80" s="156">
        <v>262937.283</v>
      </c>
      <c r="L80" s="156">
        <v>22795.223000000002</v>
      </c>
      <c r="M80" s="156">
        <v>74119.466</v>
      </c>
      <c r="O80" s="4"/>
      <c r="P80" s="4"/>
      <c r="Q80" s="17"/>
    </row>
    <row r="81" spans="1:17" x14ac:dyDescent="0.25">
      <c r="A81">
        <v>2020</v>
      </c>
      <c r="B81" s="28">
        <v>7.0250000000000004</v>
      </c>
      <c r="C81" s="28">
        <v>204.17599999999999</v>
      </c>
      <c r="D81" s="28">
        <v>0</v>
      </c>
      <c r="F81" s="4">
        <f t="shared" si="91"/>
        <v>211.20099999999999</v>
      </c>
      <c r="G81" s="4">
        <f t="shared" si="92"/>
        <v>0</v>
      </c>
      <c r="H81" s="17">
        <f t="shared" si="93"/>
        <v>211.20099999999999</v>
      </c>
      <c r="J81">
        <v>2018</v>
      </c>
      <c r="K81" s="156">
        <v>245092</v>
      </c>
      <c r="L81" s="156">
        <v>22098</v>
      </c>
      <c r="M81" s="156">
        <v>83950</v>
      </c>
      <c r="O81" s="4"/>
      <c r="P81" s="4"/>
      <c r="Q81" s="17"/>
    </row>
    <row r="82" spans="1:17" x14ac:dyDescent="0.25">
      <c r="A82">
        <v>2021</v>
      </c>
      <c r="B82" s="28">
        <v>11.146000000000001</v>
      </c>
      <c r="C82" s="28">
        <v>140.678</v>
      </c>
      <c r="D82" s="28">
        <v>0</v>
      </c>
      <c r="F82" s="4">
        <f t="shared" si="91"/>
        <v>151.82400000000001</v>
      </c>
      <c r="G82" s="4">
        <f t="shared" si="92"/>
        <v>0</v>
      </c>
      <c r="H82" s="17">
        <f t="shared" si="93"/>
        <v>151.82400000000001</v>
      </c>
      <c r="J82">
        <v>2019</v>
      </c>
      <c r="K82" s="156">
        <v>241488.95099999997</v>
      </c>
      <c r="L82" s="156">
        <v>23802.585999999996</v>
      </c>
      <c r="M82" s="156">
        <v>73728.097999999998</v>
      </c>
      <c r="O82" s="4"/>
      <c r="P82" s="4"/>
      <c r="Q82" s="17"/>
    </row>
    <row r="83" spans="1:17" x14ac:dyDescent="0.25">
      <c r="A83">
        <v>2022</v>
      </c>
      <c r="B83" s="28">
        <v>99.68</v>
      </c>
      <c r="C83" s="28">
        <v>228.68</v>
      </c>
      <c r="D83" s="28">
        <v>0</v>
      </c>
      <c r="F83" s="4">
        <f t="shared" ref="F83:F84" si="94">B83+C83</f>
        <v>328.36</v>
      </c>
      <c r="G83" s="4">
        <f t="shared" ref="G83:G84" si="95">D83</f>
        <v>0</v>
      </c>
      <c r="H83" s="17">
        <f t="shared" ref="H83:H84" si="96">F83+G83</f>
        <v>328.36</v>
      </c>
      <c r="J83">
        <v>2020</v>
      </c>
      <c r="K83" s="156">
        <v>217990.77699999997</v>
      </c>
      <c r="L83" s="156">
        <v>26782.156000000003</v>
      </c>
      <c r="M83" s="156">
        <v>97684.34</v>
      </c>
      <c r="O83" s="4"/>
      <c r="P83" s="4"/>
      <c r="Q83" s="17"/>
    </row>
    <row r="84" spans="1:17" x14ac:dyDescent="0.25">
      <c r="A84">
        <v>2023</v>
      </c>
      <c r="B84" s="28">
        <v>111.49</v>
      </c>
      <c r="C84" s="28">
        <v>188.09399999999999</v>
      </c>
      <c r="D84" s="28">
        <v>0</v>
      </c>
      <c r="F84" s="4">
        <f t="shared" si="94"/>
        <v>299.584</v>
      </c>
      <c r="G84" s="4">
        <f t="shared" si="95"/>
        <v>0</v>
      </c>
      <c r="H84" s="17">
        <f t="shared" si="96"/>
        <v>299.584</v>
      </c>
      <c r="J84">
        <v>2021</v>
      </c>
      <c r="K84" s="4">
        <v>206580.27600000004</v>
      </c>
      <c r="L84" s="4">
        <v>25744.463</v>
      </c>
      <c r="M84" s="4">
        <v>74283.284</v>
      </c>
      <c r="O84" s="4"/>
      <c r="P84" s="4"/>
      <c r="Q84" s="17"/>
    </row>
    <row r="85" spans="1:17" x14ac:dyDescent="0.25">
      <c r="J85">
        <v>2022</v>
      </c>
      <c r="K85" s="156">
        <v>228121.92099999997</v>
      </c>
      <c r="L85" s="156">
        <v>27727.264000000003</v>
      </c>
      <c r="M85" s="156">
        <v>111023.973</v>
      </c>
      <c r="O85" s="4"/>
      <c r="P85" s="4"/>
      <c r="Q85" s="17"/>
    </row>
    <row r="86" spans="1:17" x14ac:dyDescent="0.25">
      <c r="J86">
        <v>2023</v>
      </c>
      <c r="K86" s="156">
        <v>206607.09100000001</v>
      </c>
      <c r="L86" s="156">
        <v>23614.508999999998</v>
      </c>
      <c r="M86" s="156">
        <v>69764.98</v>
      </c>
      <c r="O86" s="4"/>
      <c r="P86" s="4"/>
      <c r="Q86" s="17"/>
    </row>
    <row r="87" spans="1:17" x14ac:dyDescent="0.25">
      <c r="K87" s="156"/>
      <c r="L87" s="156"/>
      <c r="M87" s="156"/>
      <c r="O87" s="4"/>
      <c r="P87" s="4"/>
      <c r="Q87" s="17"/>
    </row>
    <row r="88" spans="1:17" x14ac:dyDescent="0.25">
      <c r="K88" s="156"/>
      <c r="L88" s="156"/>
      <c r="M88" s="156"/>
      <c r="O88" s="4"/>
      <c r="P88" s="4"/>
      <c r="Q88" s="17"/>
    </row>
    <row r="89" spans="1:17" x14ac:dyDescent="0.25">
      <c r="K89" s="156"/>
      <c r="L89" s="156"/>
      <c r="M89" s="156"/>
      <c r="O89" s="4"/>
      <c r="P89" s="4"/>
      <c r="Q89" s="17"/>
    </row>
    <row r="90" spans="1:17" x14ac:dyDescent="0.25">
      <c r="A90" s="18" t="s">
        <v>9</v>
      </c>
      <c r="F90" s="4"/>
      <c r="G90" s="4"/>
      <c r="H90" s="17"/>
      <c r="K90" s="4"/>
      <c r="L90" s="4"/>
      <c r="M90" s="4"/>
      <c r="O90" s="4"/>
      <c r="P90" s="4"/>
      <c r="Q90" s="17"/>
    </row>
    <row r="91" spans="1:17" x14ac:dyDescent="0.25">
      <c r="A91">
        <v>2008</v>
      </c>
      <c r="B91" s="4">
        <v>4380</v>
      </c>
      <c r="C91" s="4">
        <v>1332</v>
      </c>
      <c r="D91">
        <v>314</v>
      </c>
      <c r="F91" s="4">
        <f t="shared" ref="F91:F99" si="97">B91+C91</f>
        <v>5712</v>
      </c>
      <c r="G91" s="4">
        <f t="shared" ref="G91:G99" si="98">D91</f>
        <v>314</v>
      </c>
      <c r="H91" s="17">
        <f t="shared" ref="H91:H99" si="99">F91+G91</f>
        <v>6026</v>
      </c>
      <c r="K91" s="4"/>
      <c r="L91" s="4"/>
      <c r="O91" s="4"/>
      <c r="P91" s="4"/>
      <c r="Q91" s="17"/>
    </row>
    <row r="92" spans="1:17" x14ac:dyDescent="0.25">
      <c r="A92">
        <v>2009</v>
      </c>
      <c r="B92" s="4">
        <v>3423</v>
      </c>
      <c r="C92" s="4">
        <v>1378</v>
      </c>
      <c r="D92">
        <v>275</v>
      </c>
      <c r="F92" s="4">
        <f t="shared" si="97"/>
        <v>4801</v>
      </c>
      <c r="G92" s="4">
        <f t="shared" si="98"/>
        <v>275</v>
      </c>
      <c r="H92" s="17">
        <f t="shared" si="99"/>
        <v>5076</v>
      </c>
      <c r="K92" s="4"/>
      <c r="L92" s="4"/>
      <c r="O92" s="4"/>
      <c r="P92" s="4"/>
      <c r="Q92" s="17"/>
    </row>
    <row r="93" spans="1:17" x14ac:dyDescent="0.25">
      <c r="A93">
        <v>2010</v>
      </c>
      <c r="B93" s="4">
        <v>3252</v>
      </c>
      <c r="C93" s="4">
        <v>1293</v>
      </c>
      <c r="D93">
        <v>244</v>
      </c>
      <c r="F93" s="4">
        <f t="shared" si="97"/>
        <v>4545</v>
      </c>
      <c r="G93" s="4">
        <f t="shared" si="98"/>
        <v>244</v>
      </c>
      <c r="H93" s="17">
        <f t="shared" si="99"/>
        <v>4789</v>
      </c>
      <c r="K93" s="4"/>
      <c r="L93" s="4"/>
      <c r="O93" s="4"/>
      <c r="P93" s="4"/>
      <c r="Q93" s="17"/>
    </row>
    <row r="94" spans="1:17" x14ac:dyDescent="0.25">
      <c r="A94">
        <v>2011</v>
      </c>
      <c r="B94" s="4">
        <v>3097</v>
      </c>
      <c r="C94" s="4">
        <v>1482</v>
      </c>
      <c r="D94">
        <v>384</v>
      </c>
      <c r="F94" s="4">
        <f t="shared" si="97"/>
        <v>4579</v>
      </c>
      <c r="G94" s="4">
        <f t="shared" si="98"/>
        <v>384</v>
      </c>
      <c r="H94" s="17">
        <f t="shared" si="99"/>
        <v>4963</v>
      </c>
      <c r="K94" s="4"/>
      <c r="L94" s="4"/>
      <c r="O94" s="4"/>
      <c r="P94" s="4"/>
      <c r="Q94" s="17"/>
    </row>
    <row r="95" spans="1:17" x14ac:dyDescent="0.25">
      <c r="A95">
        <v>2012</v>
      </c>
      <c r="B95" s="4">
        <v>3115</v>
      </c>
      <c r="C95" s="4">
        <v>1357</v>
      </c>
      <c r="D95">
        <v>215</v>
      </c>
      <c r="F95" s="4">
        <f t="shared" si="97"/>
        <v>4472</v>
      </c>
      <c r="G95" s="4">
        <f t="shared" si="98"/>
        <v>215</v>
      </c>
      <c r="H95" s="17">
        <f t="shared" si="99"/>
        <v>4687</v>
      </c>
      <c r="K95" s="4"/>
      <c r="L95" s="4"/>
      <c r="O95" s="4"/>
      <c r="P95" s="4"/>
      <c r="Q95" s="17"/>
    </row>
    <row r="96" spans="1:17" x14ac:dyDescent="0.25">
      <c r="A96">
        <v>2013</v>
      </c>
      <c r="B96" s="4">
        <v>2341</v>
      </c>
      <c r="C96" s="4">
        <v>1292</v>
      </c>
      <c r="D96">
        <v>177</v>
      </c>
      <c r="F96" s="4">
        <f t="shared" si="97"/>
        <v>3633</v>
      </c>
      <c r="G96" s="4">
        <f t="shared" si="98"/>
        <v>177</v>
      </c>
      <c r="H96" s="17">
        <f t="shared" si="99"/>
        <v>3810</v>
      </c>
      <c r="K96" s="4"/>
      <c r="L96" s="4"/>
      <c r="O96" s="4"/>
      <c r="P96" s="4"/>
      <c r="Q96" s="17"/>
    </row>
    <row r="97" spans="1:17" x14ac:dyDescent="0.25">
      <c r="A97">
        <v>2014</v>
      </c>
      <c r="B97" s="4">
        <v>2567.279</v>
      </c>
      <c r="C97" s="4">
        <v>1223.627</v>
      </c>
      <c r="D97" s="28">
        <v>199.453</v>
      </c>
      <c r="F97" s="4">
        <f t="shared" si="97"/>
        <v>3790.9059999999999</v>
      </c>
      <c r="G97" s="4">
        <f t="shared" si="98"/>
        <v>199.453</v>
      </c>
      <c r="H97" s="17">
        <f t="shared" si="99"/>
        <v>3990.3589999999999</v>
      </c>
      <c r="K97" s="4"/>
      <c r="L97" s="4"/>
      <c r="O97" s="4"/>
      <c r="P97" s="4"/>
      <c r="Q97" s="17"/>
    </row>
    <row r="98" spans="1:17" x14ac:dyDescent="0.25">
      <c r="A98">
        <v>2015</v>
      </c>
      <c r="B98" s="4">
        <v>3096.17</v>
      </c>
      <c r="C98" s="4">
        <v>1407.7929999999999</v>
      </c>
      <c r="D98" s="28">
        <v>33.280999999999999</v>
      </c>
      <c r="F98" s="4">
        <f t="shared" si="97"/>
        <v>4503.9629999999997</v>
      </c>
      <c r="G98" s="4">
        <f t="shared" si="98"/>
        <v>33.280999999999999</v>
      </c>
      <c r="H98" s="17">
        <f t="shared" si="99"/>
        <v>4537.2439999999997</v>
      </c>
      <c r="K98" s="4"/>
      <c r="L98" s="4"/>
      <c r="O98" s="4"/>
      <c r="P98" s="4"/>
      <c r="Q98" s="17"/>
    </row>
    <row r="99" spans="1:17" x14ac:dyDescent="0.25">
      <c r="A99">
        <v>2016</v>
      </c>
      <c r="B99" s="4">
        <v>4703.3450000000003</v>
      </c>
      <c r="C99" s="4">
        <v>1718.4749999999999</v>
      </c>
      <c r="D99" s="28">
        <v>69.168000000000006</v>
      </c>
      <c r="F99" s="4">
        <f t="shared" si="97"/>
        <v>6421.82</v>
      </c>
      <c r="G99" s="4">
        <f t="shared" si="98"/>
        <v>69.168000000000006</v>
      </c>
      <c r="H99" s="17">
        <f t="shared" si="99"/>
        <v>6490.9879999999994</v>
      </c>
      <c r="K99" s="4"/>
      <c r="L99" s="4"/>
      <c r="O99" s="4"/>
      <c r="P99" s="4"/>
      <c r="Q99" s="17"/>
    </row>
    <row r="100" spans="1:17" x14ac:dyDescent="0.25">
      <c r="A100">
        <v>2017</v>
      </c>
      <c r="B100" s="4">
        <v>3246.7170000000001</v>
      </c>
      <c r="C100" s="4">
        <v>1306.694</v>
      </c>
      <c r="D100" s="28">
        <v>117.498</v>
      </c>
      <c r="F100" s="4">
        <f t="shared" ref="F100:F104" si="100">B100+C100</f>
        <v>4553.4110000000001</v>
      </c>
      <c r="G100" s="4">
        <f t="shared" ref="G100:G104" si="101">D100</f>
        <v>117.498</v>
      </c>
      <c r="H100" s="17">
        <f t="shared" ref="H100:H104" si="102">F100+G100</f>
        <v>4670.9089999999997</v>
      </c>
      <c r="O100" s="4"/>
      <c r="P100" s="4"/>
      <c r="Q100" s="17"/>
    </row>
    <row r="101" spans="1:17" x14ac:dyDescent="0.25">
      <c r="A101">
        <v>2018</v>
      </c>
      <c r="B101" s="4">
        <v>3820</v>
      </c>
      <c r="C101" s="4">
        <v>1271</v>
      </c>
      <c r="D101" s="28">
        <v>109</v>
      </c>
      <c r="F101" s="4">
        <f t="shared" si="100"/>
        <v>5091</v>
      </c>
      <c r="G101" s="4">
        <f t="shared" si="101"/>
        <v>109</v>
      </c>
      <c r="H101" s="17">
        <f t="shared" si="102"/>
        <v>5200</v>
      </c>
      <c r="O101" s="4"/>
      <c r="P101" s="4"/>
      <c r="Q101" s="17"/>
    </row>
    <row r="102" spans="1:17" x14ac:dyDescent="0.25">
      <c r="A102">
        <v>2019</v>
      </c>
      <c r="B102" s="4">
        <v>4026.7919999999999</v>
      </c>
      <c r="C102" s="4">
        <v>1271.2470000000001</v>
      </c>
      <c r="D102" s="28">
        <v>146.614</v>
      </c>
      <c r="F102" s="4">
        <f t="shared" si="100"/>
        <v>5298.0389999999998</v>
      </c>
      <c r="G102" s="4">
        <f t="shared" si="101"/>
        <v>146.614</v>
      </c>
      <c r="H102" s="17">
        <f t="shared" si="102"/>
        <v>5444.6529999999993</v>
      </c>
      <c r="O102" s="4"/>
      <c r="P102" s="4"/>
      <c r="Q102" s="17"/>
    </row>
    <row r="103" spans="1:17" x14ac:dyDescent="0.25">
      <c r="A103">
        <v>2020</v>
      </c>
      <c r="B103" s="4">
        <v>3300.7089999999998</v>
      </c>
      <c r="C103" s="4">
        <v>1090.9960000000001</v>
      </c>
      <c r="D103" s="28">
        <v>133.81299999999999</v>
      </c>
      <c r="F103" s="4">
        <f t="shared" si="100"/>
        <v>4391.7049999999999</v>
      </c>
      <c r="G103" s="4">
        <f t="shared" si="101"/>
        <v>133.81299999999999</v>
      </c>
      <c r="H103" s="17">
        <f t="shared" si="102"/>
        <v>4525.518</v>
      </c>
      <c r="O103" s="4"/>
      <c r="P103" s="4"/>
      <c r="Q103" s="17"/>
    </row>
    <row r="104" spans="1:17" x14ac:dyDescent="0.25">
      <c r="A104">
        <v>2021</v>
      </c>
      <c r="B104" s="4">
        <v>3304.9259999999999</v>
      </c>
      <c r="C104" s="4">
        <v>1059.136</v>
      </c>
      <c r="D104" s="28">
        <v>84.113</v>
      </c>
      <c r="F104" s="4">
        <f t="shared" si="100"/>
        <v>4364.0619999999999</v>
      </c>
      <c r="G104" s="4">
        <f t="shared" si="101"/>
        <v>84.113</v>
      </c>
      <c r="H104" s="17">
        <f t="shared" si="102"/>
        <v>4448.1750000000002</v>
      </c>
      <c r="J104" s="18"/>
      <c r="O104" s="4"/>
      <c r="P104" s="4"/>
      <c r="Q104" s="17"/>
    </row>
    <row r="105" spans="1:17" x14ac:dyDescent="0.25">
      <c r="A105">
        <v>2022</v>
      </c>
      <c r="B105" s="4">
        <v>5009.2520000000004</v>
      </c>
      <c r="C105" s="4">
        <v>1073.0039999999999</v>
      </c>
      <c r="D105" s="28">
        <v>141.624</v>
      </c>
      <c r="F105" s="4">
        <f t="shared" ref="F105:F106" si="103">B105+C105</f>
        <v>6082.2560000000003</v>
      </c>
      <c r="G105" s="4">
        <f t="shared" ref="G105:G106" si="104">D105</f>
        <v>141.624</v>
      </c>
      <c r="H105" s="17">
        <f t="shared" ref="H105:H106" si="105">F105+G105</f>
        <v>6223.88</v>
      </c>
      <c r="J105" s="18"/>
      <c r="O105" s="4"/>
      <c r="P105" s="4"/>
      <c r="Q105" s="17"/>
    </row>
    <row r="106" spans="1:17" x14ac:dyDescent="0.25">
      <c r="A106">
        <v>2023</v>
      </c>
      <c r="B106" s="4">
        <v>4170.8959999999997</v>
      </c>
      <c r="C106" s="4">
        <v>1242.712</v>
      </c>
      <c r="D106" s="28">
        <v>114.185</v>
      </c>
      <c r="F106" s="4">
        <f t="shared" si="103"/>
        <v>5413.6080000000002</v>
      </c>
      <c r="G106" s="4">
        <f t="shared" si="104"/>
        <v>114.185</v>
      </c>
      <c r="H106" s="17">
        <f t="shared" si="105"/>
        <v>5527.7930000000006</v>
      </c>
      <c r="J106" s="18"/>
      <c r="O106" s="4"/>
      <c r="P106" s="4"/>
      <c r="Q106" s="17"/>
    </row>
    <row r="107" spans="1:17" x14ac:dyDescent="0.25">
      <c r="F107" s="4"/>
      <c r="G107" s="4"/>
      <c r="H107" s="17"/>
      <c r="O107" s="4"/>
      <c r="P107" s="4"/>
      <c r="Q107" s="17"/>
    </row>
    <row r="108" spans="1:17" x14ac:dyDescent="0.25">
      <c r="F108" s="4"/>
      <c r="G108" s="4"/>
      <c r="H108" s="17"/>
      <c r="O108" s="4"/>
      <c r="P108" s="4"/>
      <c r="Q108" s="17"/>
    </row>
    <row r="109" spans="1:17" x14ac:dyDescent="0.25">
      <c r="F109" s="4"/>
      <c r="G109" s="4"/>
      <c r="H109" s="17"/>
      <c r="O109" s="4"/>
      <c r="P109" s="4"/>
      <c r="Q109" s="17"/>
    </row>
    <row r="110" spans="1:17" x14ac:dyDescent="0.25">
      <c r="F110" s="4"/>
      <c r="G110" s="4"/>
      <c r="H110" s="17"/>
      <c r="O110" s="4"/>
      <c r="P110" s="4"/>
      <c r="Q110" s="17"/>
    </row>
    <row r="111" spans="1:17" x14ac:dyDescent="0.25">
      <c r="F111" s="4"/>
      <c r="G111" s="4"/>
      <c r="H111" s="17"/>
      <c r="O111" s="4"/>
      <c r="P111" s="4"/>
      <c r="Q111" s="17"/>
    </row>
    <row r="112" spans="1:17" x14ac:dyDescent="0.25">
      <c r="A112" s="18" t="s">
        <v>6</v>
      </c>
      <c r="F112" s="4"/>
      <c r="G112" s="4"/>
      <c r="H112" s="17"/>
      <c r="O112" s="4"/>
      <c r="P112" s="4"/>
      <c r="Q112" s="17"/>
    </row>
    <row r="113" spans="1:17" x14ac:dyDescent="0.25">
      <c r="A113">
        <v>2008</v>
      </c>
      <c r="B113" s="4">
        <v>6290</v>
      </c>
      <c r="C113" s="4">
        <v>1327</v>
      </c>
      <c r="D113" s="4">
        <v>40185</v>
      </c>
      <c r="F113" s="4">
        <f t="shared" ref="F113:F121" si="106">B113+C113</f>
        <v>7617</v>
      </c>
      <c r="G113" s="4">
        <f t="shared" ref="G113:G121" si="107">D113</f>
        <v>40185</v>
      </c>
      <c r="H113" s="17">
        <f t="shared" ref="H113:H121" si="108">F113+G113</f>
        <v>47802</v>
      </c>
      <c r="O113" s="4"/>
      <c r="P113" s="4"/>
      <c r="Q113" s="17"/>
    </row>
    <row r="114" spans="1:17" x14ac:dyDescent="0.25">
      <c r="A114">
        <v>2009</v>
      </c>
      <c r="B114" s="4">
        <v>6409</v>
      </c>
      <c r="C114" s="4">
        <v>1456</v>
      </c>
      <c r="D114" s="4">
        <v>38348</v>
      </c>
      <c r="F114" s="4">
        <f t="shared" si="106"/>
        <v>7865</v>
      </c>
      <c r="G114" s="4">
        <f t="shared" si="107"/>
        <v>38348</v>
      </c>
      <c r="H114" s="17">
        <f t="shared" si="108"/>
        <v>46213</v>
      </c>
      <c r="O114" s="4"/>
      <c r="P114" s="4"/>
      <c r="Q114" s="17"/>
    </row>
    <row r="115" spans="1:17" x14ac:dyDescent="0.25">
      <c r="A115">
        <v>2010</v>
      </c>
      <c r="B115" s="4">
        <v>5860</v>
      </c>
      <c r="C115" s="4">
        <v>1210</v>
      </c>
      <c r="D115" s="4">
        <v>28478</v>
      </c>
      <c r="F115" s="4">
        <f t="shared" si="106"/>
        <v>7070</v>
      </c>
      <c r="G115" s="4">
        <f t="shared" si="107"/>
        <v>28478</v>
      </c>
      <c r="H115" s="17">
        <f t="shared" si="108"/>
        <v>35548</v>
      </c>
      <c r="O115" s="4"/>
      <c r="P115" s="4"/>
      <c r="Q115" s="17"/>
    </row>
    <row r="116" spans="1:17" x14ac:dyDescent="0.25">
      <c r="A116">
        <v>2011</v>
      </c>
      <c r="B116" s="4">
        <v>6740</v>
      </c>
      <c r="C116" s="4">
        <v>1978</v>
      </c>
      <c r="D116" s="4">
        <v>47608</v>
      </c>
      <c r="F116" s="4">
        <f t="shared" si="106"/>
        <v>8718</v>
      </c>
      <c r="G116" s="4">
        <f t="shared" si="107"/>
        <v>47608</v>
      </c>
      <c r="H116" s="17">
        <f t="shared" si="108"/>
        <v>56326</v>
      </c>
      <c r="O116" s="4"/>
      <c r="P116" s="4"/>
      <c r="Q116" s="17"/>
    </row>
    <row r="117" spans="1:17" x14ac:dyDescent="0.25">
      <c r="A117">
        <v>2012</v>
      </c>
      <c r="B117" s="4">
        <v>6104</v>
      </c>
      <c r="C117" s="4">
        <v>2018</v>
      </c>
      <c r="D117" s="4">
        <v>35137</v>
      </c>
      <c r="F117" s="4">
        <f t="shared" si="106"/>
        <v>8122</v>
      </c>
      <c r="G117" s="4">
        <f t="shared" si="107"/>
        <v>35137</v>
      </c>
      <c r="H117" s="17">
        <f t="shared" si="108"/>
        <v>43259</v>
      </c>
      <c r="O117" s="4"/>
      <c r="P117" s="4"/>
      <c r="Q117" s="17"/>
    </row>
    <row r="118" spans="1:17" x14ac:dyDescent="0.25">
      <c r="A118">
        <v>2013</v>
      </c>
      <c r="B118" s="4">
        <v>5911</v>
      </c>
      <c r="C118" s="4">
        <v>2007</v>
      </c>
      <c r="D118" s="4">
        <v>33755</v>
      </c>
      <c r="F118" s="4">
        <f t="shared" si="106"/>
        <v>7918</v>
      </c>
      <c r="G118" s="4">
        <f t="shared" si="107"/>
        <v>33755</v>
      </c>
      <c r="H118" s="17">
        <f t="shared" si="108"/>
        <v>41673</v>
      </c>
      <c r="O118" s="4"/>
      <c r="P118" s="4"/>
      <c r="Q118" s="17"/>
    </row>
    <row r="119" spans="1:17" x14ac:dyDescent="0.25">
      <c r="A119">
        <v>2014</v>
      </c>
      <c r="B119" s="4">
        <v>6048.1</v>
      </c>
      <c r="C119" s="4">
        <v>1947.8009999999999</v>
      </c>
      <c r="D119" s="4">
        <v>34034.629999999997</v>
      </c>
      <c r="F119" s="4">
        <f t="shared" si="106"/>
        <v>7995.9009999999998</v>
      </c>
      <c r="G119" s="4">
        <f t="shared" si="107"/>
        <v>34034.629999999997</v>
      </c>
      <c r="H119" s="17">
        <f t="shared" si="108"/>
        <v>42030.530999999995</v>
      </c>
      <c r="O119" s="4"/>
      <c r="P119" s="4"/>
      <c r="Q119" s="17"/>
    </row>
    <row r="120" spans="1:17" x14ac:dyDescent="0.25">
      <c r="A120">
        <v>2015</v>
      </c>
      <c r="B120" s="4">
        <v>5906.4120000000003</v>
      </c>
      <c r="C120" s="4">
        <v>1770.3589999999999</v>
      </c>
      <c r="D120" s="4">
        <v>18808.409</v>
      </c>
      <c r="F120" s="4">
        <f t="shared" si="106"/>
        <v>7676.7710000000006</v>
      </c>
      <c r="G120" s="4">
        <f t="shared" si="107"/>
        <v>18808.409</v>
      </c>
      <c r="H120" s="17">
        <f t="shared" si="108"/>
        <v>26485.18</v>
      </c>
      <c r="O120" s="4"/>
      <c r="P120" s="4"/>
      <c r="Q120" s="17"/>
    </row>
    <row r="121" spans="1:17" x14ac:dyDescent="0.25">
      <c r="A121">
        <v>2016</v>
      </c>
      <c r="B121" s="4">
        <v>5691.6909999999998</v>
      </c>
      <c r="C121" s="4">
        <v>3449.5540000000001</v>
      </c>
      <c r="D121" s="4">
        <v>21608.598999999998</v>
      </c>
      <c r="F121" s="4">
        <f t="shared" si="106"/>
        <v>9141.244999999999</v>
      </c>
      <c r="G121" s="4">
        <f t="shared" si="107"/>
        <v>21608.598999999998</v>
      </c>
      <c r="H121" s="17">
        <f t="shared" si="108"/>
        <v>30749.843999999997</v>
      </c>
      <c r="O121" s="4"/>
      <c r="P121" s="4"/>
      <c r="Q121" s="17"/>
    </row>
    <row r="122" spans="1:17" x14ac:dyDescent="0.25">
      <c r="A122">
        <v>2017</v>
      </c>
      <c r="B122" s="4">
        <v>6982.9120000000003</v>
      </c>
      <c r="C122" s="4">
        <v>3412.7869999999998</v>
      </c>
      <c r="D122" s="4">
        <v>32021.088</v>
      </c>
      <c r="F122" s="4">
        <f t="shared" ref="F122:F128" si="109">B122+C122</f>
        <v>10395.699000000001</v>
      </c>
      <c r="G122" s="4">
        <f t="shared" ref="G122:G128" si="110">D122</f>
        <v>32021.088</v>
      </c>
      <c r="H122" s="17">
        <f t="shared" ref="H122:H128" si="111">F122+G122</f>
        <v>42416.786999999997</v>
      </c>
      <c r="O122" s="4"/>
      <c r="P122" s="4"/>
      <c r="Q122" s="17"/>
    </row>
    <row r="123" spans="1:17" x14ac:dyDescent="0.25">
      <c r="A123">
        <v>2018</v>
      </c>
      <c r="B123" s="4">
        <v>6536</v>
      </c>
      <c r="C123" s="4">
        <v>2884</v>
      </c>
      <c r="D123" s="4">
        <v>31387</v>
      </c>
      <c r="F123" s="4">
        <f t="shared" si="109"/>
        <v>9420</v>
      </c>
      <c r="G123" s="4">
        <f t="shared" si="110"/>
        <v>31387</v>
      </c>
      <c r="H123" s="17">
        <f t="shared" si="111"/>
        <v>40807</v>
      </c>
      <c r="O123" s="4"/>
      <c r="P123" s="4"/>
      <c r="Q123" s="17"/>
    </row>
    <row r="124" spans="1:17" x14ac:dyDescent="0.25">
      <c r="A124">
        <v>2019</v>
      </c>
      <c r="B124" s="4">
        <v>7152.4009999999998</v>
      </c>
      <c r="C124" s="4">
        <v>3515.8719999999998</v>
      </c>
      <c r="D124" s="4">
        <v>29085.632000000001</v>
      </c>
      <c r="F124" s="4">
        <f t="shared" si="109"/>
        <v>10668.272999999999</v>
      </c>
      <c r="G124" s="4">
        <f t="shared" si="110"/>
        <v>29085.632000000001</v>
      </c>
      <c r="H124" s="17">
        <f t="shared" si="111"/>
        <v>39753.904999999999</v>
      </c>
      <c r="O124" s="4"/>
      <c r="P124" s="4"/>
      <c r="Q124" s="17"/>
    </row>
    <row r="125" spans="1:17" x14ac:dyDescent="0.25">
      <c r="A125">
        <v>2020</v>
      </c>
      <c r="B125" s="4">
        <v>7830.87</v>
      </c>
      <c r="C125" s="4">
        <v>4830.1480000000001</v>
      </c>
      <c r="D125" s="4">
        <v>36702.459000000003</v>
      </c>
      <c r="F125" s="4">
        <f t="shared" si="109"/>
        <v>12661.018</v>
      </c>
      <c r="G125" s="4">
        <f t="shared" si="110"/>
        <v>36702.459000000003</v>
      </c>
      <c r="H125" s="17">
        <f t="shared" si="111"/>
        <v>49363.476999999999</v>
      </c>
      <c r="O125" s="4"/>
      <c r="P125" s="4"/>
      <c r="Q125" s="17"/>
    </row>
    <row r="126" spans="1:17" x14ac:dyDescent="0.25">
      <c r="A126">
        <v>2021</v>
      </c>
      <c r="B126" s="4">
        <v>7403.3559999999998</v>
      </c>
      <c r="C126" s="4">
        <v>4094.0790000000002</v>
      </c>
      <c r="D126" s="4">
        <v>27167.421999999999</v>
      </c>
      <c r="F126" s="4">
        <f t="shared" si="109"/>
        <v>11497.434999999999</v>
      </c>
      <c r="G126" s="4">
        <f t="shared" si="110"/>
        <v>27167.421999999999</v>
      </c>
      <c r="H126" s="17">
        <f t="shared" si="111"/>
        <v>38664.856999999996</v>
      </c>
      <c r="J126" s="18"/>
      <c r="O126" s="4"/>
      <c r="P126" s="4"/>
      <c r="Q126" s="17"/>
    </row>
    <row r="127" spans="1:17" x14ac:dyDescent="0.25">
      <c r="A127">
        <v>2022</v>
      </c>
      <c r="B127" s="4">
        <v>8360.7420000000002</v>
      </c>
      <c r="C127" s="4">
        <v>4871.0410000000002</v>
      </c>
      <c r="D127" s="4">
        <v>42044.182000000001</v>
      </c>
      <c r="F127" s="4">
        <f t="shared" si="109"/>
        <v>13231.782999999999</v>
      </c>
      <c r="G127" s="4">
        <f t="shared" si="110"/>
        <v>42044.182000000001</v>
      </c>
      <c r="H127" s="17">
        <f t="shared" si="111"/>
        <v>55275.964999999997</v>
      </c>
      <c r="J127" s="18"/>
      <c r="O127" s="4"/>
      <c r="P127" s="4"/>
      <c r="Q127" s="17"/>
    </row>
    <row r="128" spans="1:17" x14ac:dyDescent="0.25">
      <c r="A128">
        <v>2023</v>
      </c>
      <c r="B128" s="4">
        <v>8213.6509999999998</v>
      </c>
      <c r="C128" s="4">
        <v>4501.9210000000003</v>
      </c>
      <c r="D128" s="4">
        <v>25840.062000000002</v>
      </c>
      <c r="F128" s="4">
        <f t="shared" si="109"/>
        <v>12715.572</v>
      </c>
      <c r="G128" s="4">
        <f t="shared" si="110"/>
        <v>25840.062000000002</v>
      </c>
      <c r="H128" s="17">
        <f t="shared" si="111"/>
        <v>38555.634000000005</v>
      </c>
      <c r="J128" s="18"/>
      <c r="O128" s="4"/>
      <c r="P128" s="4"/>
      <c r="Q128" s="17"/>
    </row>
    <row r="129" spans="1:17" x14ac:dyDescent="0.25">
      <c r="F129" s="4"/>
      <c r="G129" s="4"/>
      <c r="H129" s="17"/>
      <c r="M129" s="4"/>
      <c r="O129" s="4"/>
      <c r="P129" s="4"/>
      <c r="Q129" s="17"/>
    </row>
    <row r="130" spans="1:17" x14ac:dyDescent="0.25">
      <c r="F130" s="4"/>
      <c r="G130" s="4"/>
      <c r="H130" s="17"/>
      <c r="M130" s="4"/>
      <c r="O130" s="4"/>
      <c r="P130" s="4"/>
      <c r="Q130" s="17"/>
    </row>
    <row r="131" spans="1:17" x14ac:dyDescent="0.25">
      <c r="F131" s="4"/>
      <c r="G131" s="4"/>
      <c r="H131" s="17"/>
      <c r="M131" s="4"/>
      <c r="O131" s="4"/>
      <c r="P131" s="4"/>
      <c r="Q131" s="17"/>
    </row>
    <row r="132" spans="1:17" x14ac:dyDescent="0.25">
      <c r="F132" s="4"/>
      <c r="G132" s="4"/>
      <c r="H132" s="17"/>
      <c r="M132" s="4"/>
      <c r="O132" s="4"/>
      <c r="P132" s="4"/>
      <c r="Q132" s="17"/>
    </row>
    <row r="133" spans="1:17" x14ac:dyDescent="0.25">
      <c r="F133" s="4"/>
      <c r="G133" s="4"/>
      <c r="H133" s="17"/>
      <c r="M133" s="4"/>
      <c r="O133" s="4"/>
      <c r="P133" s="4"/>
      <c r="Q133" s="17"/>
    </row>
    <row r="134" spans="1:17" x14ac:dyDescent="0.25">
      <c r="A134" s="18" t="s">
        <v>14</v>
      </c>
      <c r="F134" s="4"/>
      <c r="G134" s="4"/>
      <c r="H134" s="17"/>
      <c r="M134" s="4"/>
      <c r="O134" s="4"/>
      <c r="P134" s="4"/>
      <c r="Q134" s="17"/>
    </row>
    <row r="135" spans="1:17" x14ac:dyDescent="0.25">
      <c r="A135">
        <v>2008</v>
      </c>
      <c r="B135" s="4">
        <v>4768</v>
      </c>
      <c r="C135">
        <v>126</v>
      </c>
      <c r="D135" s="4">
        <v>63715</v>
      </c>
      <c r="F135" s="4">
        <f t="shared" ref="F135:F161" si="112">B135+C135</f>
        <v>4894</v>
      </c>
      <c r="G135" s="4">
        <f t="shared" ref="G135:G161" si="113">D135</f>
        <v>63715</v>
      </c>
      <c r="H135" s="17">
        <f t="shared" ref="H135:H161" si="114">F135+G135</f>
        <v>68609</v>
      </c>
      <c r="O135" s="4"/>
      <c r="P135" s="4"/>
      <c r="Q135" s="17"/>
    </row>
    <row r="136" spans="1:17" x14ac:dyDescent="0.25">
      <c r="A136">
        <v>2009</v>
      </c>
      <c r="B136" s="4">
        <v>4797</v>
      </c>
      <c r="C136">
        <v>107</v>
      </c>
      <c r="D136" s="4">
        <v>58814</v>
      </c>
      <c r="F136" s="4">
        <f t="shared" si="112"/>
        <v>4904</v>
      </c>
      <c r="G136" s="4">
        <f t="shared" si="113"/>
        <v>58814</v>
      </c>
      <c r="H136" s="17">
        <f t="shared" si="114"/>
        <v>63718</v>
      </c>
      <c r="M136" s="4"/>
      <c r="O136" s="4"/>
      <c r="P136" s="4"/>
      <c r="Q136" s="17"/>
    </row>
    <row r="137" spans="1:17" x14ac:dyDescent="0.25">
      <c r="A137">
        <v>2010</v>
      </c>
      <c r="B137" s="4">
        <v>3975</v>
      </c>
      <c r="C137">
        <v>119</v>
      </c>
      <c r="D137" s="4">
        <v>38118</v>
      </c>
      <c r="F137" s="4">
        <f t="shared" si="112"/>
        <v>4094</v>
      </c>
      <c r="G137" s="4">
        <f t="shared" si="113"/>
        <v>38118</v>
      </c>
      <c r="H137" s="17">
        <f t="shared" si="114"/>
        <v>42212</v>
      </c>
      <c r="M137" s="4"/>
      <c r="O137" s="4"/>
      <c r="P137" s="4"/>
      <c r="Q137" s="17"/>
    </row>
    <row r="138" spans="1:17" x14ac:dyDescent="0.25">
      <c r="A138">
        <v>2011</v>
      </c>
      <c r="B138" s="4">
        <v>4862</v>
      </c>
      <c r="C138">
        <v>151</v>
      </c>
      <c r="D138" s="4">
        <v>68171</v>
      </c>
      <c r="F138" s="4">
        <f t="shared" si="112"/>
        <v>5013</v>
      </c>
      <c r="G138" s="4">
        <f t="shared" si="113"/>
        <v>68171</v>
      </c>
      <c r="H138" s="17">
        <f t="shared" si="114"/>
        <v>73184</v>
      </c>
      <c r="M138" s="4"/>
      <c r="O138" s="4"/>
      <c r="P138" s="4"/>
      <c r="Q138" s="17"/>
    </row>
    <row r="139" spans="1:17" x14ac:dyDescent="0.25">
      <c r="A139">
        <v>2012</v>
      </c>
      <c r="B139" s="4">
        <v>4355</v>
      </c>
      <c r="C139">
        <v>143</v>
      </c>
      <c r="D139" s="4">
        <v>49163</v>
      </c>
      <c r="F139" s="4">
        <f t="shared" si="112"/>
        <v>4498</v>
      </c>
      <c r="G139" s="4">
        <f t="shared" si="113"/>
        <v>49163</v>
      </c>
      <c r="H139" s="17">
        <f t="shared" si="114"/>
        <v>53661</v>
      </c>
      <c r="M139" s="4"/>
      <c r="O139" s="4"/>
      <c r="P139" s="4"/>
      <c r="Q139" s="17"/>
    </row>
    <row r="140" spans="1:17" x14ac:dyDescent="0.25">
      <c r="A140">
        <v>2013</v>
      </c>
      <c r="B140" s="4">
        <v>3870</v>
      </c>
      <c r="C140">
        <v>95</v>
      </c>
      <c r="D140" s="4">
        <v>36959</v>
      </c>
      <c r="F140" s="4">
        <f t="shared" si="112"/>
        <v>3965</v>
      </c>
      <c r="G140" s="4">
        <f t="shared" si="113"/>
        <v>36959</v>
      </c>
      <c r="H140" s="17">
        <f t="shared" si="114"/>
        <v>40924</v>
      </c>
      <c r="O140" s="4"/>
      <c r="P140" s="4"/>
      <c r="Q140" s="17"/>
    </row>
    <row r="141" spans="1:17" x14ac:dyDescent="0.25">
      <c r="A141">
        <v>2014</v>
      </c>
      <c r="B141" s="4">
        <v>3700.0839999999998</v>
      </c>
      <c r="C141" s="28">
        <v>109.169</v>
      </c>
      <c r="D141" s="4">
        <v>35057.114999999998</v>
      </c>
      <c r="F141" s="4">
        <f t="shared" si="112"/>
        <v>3809.2529999999997</v>
      </c>
      <c r="G141" s="4">
        <f t="shared" si="113"/>
        <v>35057.114999999998</v>
      </c>
      <c r="H141" s="17">
        <f t="shared" si="114"/>
        <v>38866.367999999995</v>
      </c>
      <c r="O141" s="4"/>
      <c r="P141" s="4"/>
      <c r="Q141" s="17"/>
    </row>
    <row r="142" spans="1:17" x14ac:dyDescent="0.25">
      <c r="A142">
        <v>2015</v>
      </c>
      <c r="B142" s="4">
        <v>3152.212</v>
      </c>
      <c r="C142" s="28">
        <v>133.73699999999999</v>
      </c>
      <c r="D142" s="4">
        <v>19084.181</v>
      </c>
      <c r="F142" s="4">
        <f t="shared" si="112"/>
        <v>3285.9490000000001</v>
      </c>
      <c r="G142" s="4">
        <f t="shared" si="113"/>
        <v>19084.181</v>
      </c>
      <c r="H142" s="17">
        <f t="shared" si="114"/>
        <v>22370.13</v>
      </c>
      <c r="O142" s="4"/>
      <c r="P142" s="4"/>
      <c r="Q142" s="17"/>
    </row>
    <row r="143" spans="1:17" x14ac:dyDescent="0.25">
      <c r="A143">
        <v>2016</v>
      </c>
      <c r="B143" s="4">
        <v>3012.6390000000001</v>
      </c>
      <c r="C143" s="28">
        <v>103.188</v>
      </c>
      <c r="D143" s="4">
        <v>28811.863000000001</v>
      </c>
      <c r="F143" s="4">
        <f t="shared" si="112"/>
        <v>3115.8270000000002</v>
      </c>
      <c r="G143" s="4">
        <f t="shared" si="113"/>
        <v>28811.863000000001</v>
      </c>
      <c r="H143" s="17">
        <f t="shared" si="114"/>
        <v>31927.690000000002</v>
      </c>
      <c r="O143" s="4"/>
      <c r="P143" s="4"/>
      <c r="Q143" s="17"/>
    </row>
    <row r="144" spans="1:17" x14ac:dyDescent="0.25">
      <c r="A144">
        <v>2017</v>
      </c>
      <c r="B144" s="4">
        <v>3182.1060000000002</v>
      </c>
      <c r="C144" s="28">
        <v>128.11500000000001</v>
      </c>
      <c r="D144" s="4">
        <v>35534.237000000001</v>
      </c>
      <c r="F144" s="4">
        <f t="shared" ref="F144:F148" si="115">B144+C144</f>
        <v>3310.2210000000005</v>
      </c>
      <c r="G144" s="4">
        <f t="shared" ref="G144:G148" si="116">D144</f>
        <v>35534.237000000001</v>
      </c>
      <c r="H144" s="17">
        <f t="shared" ref="H144:H148" si="117">F144+G144</f>
        <v>38844.457999999999</v>
      </c>
    </row>
    <row r="145" spans="1:8" x14ac:dyDescent="0.25">
      <c r="A145">
        <v>2018</v>
      </c>
      <c r="B145" s="4">
        <v>3251</v>
      </c>
      <c r="C145" s="28">
        <v>133</v>
      </c>
      <c r="D145" s="4">
        <v>46503</v>
      </c>
      <c r="F145" s="4">
        <f t="shared" si="115"/>
        <v>3384</v>
      </c>
      <c r="G145" s="4">
        <f t="shared" si="116"/>
        <v>46503</v>
      </c>
      <c r="H145" s="17">
        <f t="shared" si="117"/>
        <v>49887</v>
      </c>
    </row>
    <row r="146" spans="1:8" x14ac:dyDescent="0.25">
      <c r="A146">
        <v>2019</v>
      </c>
      <c r="B146" s="4">
        <v>2966.3870000000002</v>
      </c>
      <c r="C146" s="28">
        <v>100.974</v>
      </c>
      <c r="D146" s="4">
        <v>38876.222999999998</v>
      </c>
      <c r="F146" s="4">
        <f t="shared" si="115"/>
        <v>3067.3610000000003</v>
      </c>
      <c r="G146" s="4">
        <f t="shared" si="116"/>
        <v>38876.222999999998</v>
      </c>
      <c r="H146" s="17">
        <f t="shared" si="117"/>
        <v>41943.583999999995</v>
      </c>
    </row>
    <row r="147" spans="1:8" x14ac:dyDescent="0.25">
      <c r="A147">
        <v>2020</v>
      </c>
      <c r="B147" s="4">
        <v>3476.991</v>
      </c>
      <c r="C147" s="28">
        <v>100.324</v>
      </c>
      <c r="D147" s="4">
        <v>53752.855000000003</v>
      </c>
      <c r="F147" s="4">
        <f t="shared" si="115"/>
        <v>3577.3150000000001</v>
      </c>
      <c r="G147" s="4">
        <f t="shared" si="116"/>
        <v>53752.855000000003</v>
      </c>
      <c r="H147" s="17">
        <f t="shared" si="117"/>
        <v>57330.170000000006</v>
      </c>
    </row>
    <row r="148" spans="1:8" x14ac:dyDescent="0.25">
      <c r="A148">
        <v>2021</v>
      </c>
      <c r="B148" s="4">
        <v>2812.5259999999998</v>
      </c>
      <c r="C148" s="28">
        <v>86.283000000000001</v>
      </c>
      <c r="D148" s="4">
        <v>42315.08</v>
      </c>
      <c r="F148" s="4">
        <f t="shared" si="115"/>
        <v>2898.8089999999997</v>
      </c>
      <c r="G148" s="4">
        <f t="shared" si="116"/>
        <v>42315.08</v>
      </c>
      <c r="H148" s="17">
        <f t="shared" si="117"/>
        <v>45213.889000000003</v>
      </c>
    </row>
    <row r="149" spans="1:8" x14ac:dyDescent="0.25">
      <c r="A149">
        <v>2022</v>
      </c>
      <c r="B149" s="4">
        <v>3216.346</v>
      </c>
      <c r="C149" s="28">
        <v>114.102</v>
      </c>
      <c r="D149" s="4">
        <v>61391.553999999996</v>
      </c>
      <c r="F149" s="4">
        <f t="shared" ref="F149:F150" si="118">B149+C149</f>
        <v>3330.4479999999999</v>
      </c>
      <c r="G149" s="4">
        <f t="shared" ref="G149:G150" si="119">D149</f>
        <v>61391.553999999996</v>
      </c>
      <c r="H149" s="17">
        <f t="shared" ref="H149:H150" si="120">F149+G149</f>
        <v>64722.001999999993</v>
      </c>
    </row>
    <row r="150" spans="1:8" x14ac:dyDescent="0.25">
      <c r="A150">
        <v>2023</v>
      </c>
      <c r="B150" s="4">
        <v>3000.9679999999998</v>
      </c>
      <c r="C150" s="28">
        <v>123.727</v>
      </c>
      <c r="D150" s="4">
        <v>38396.578999999998</v>
      </c>
      <c r="F150" s="4">
        <f t="shared" si="118"/>
        <v>3124.6949999999997</v>
      </c>
      <c r="G150" s="4">
        <f t="shared" si="119"/>
        <v>38396.578999999998</v>
      </c>
      <c r="H150" s="17">
        <f t="shared" si="120"/>
        <v>41521.273999999998</v>
      </c>
    </row>
    <row r="151" spans="1:8" x14ac:dyDescent="0.25">
      <c r="F151" s="4"/>
      <c r="G151" s="4"/>
      <c r="H151" s="17"/>
    </row>
    <row r="152" spans="1:8" x14ac:dyDescent="0.25">
      <c r="A152" s="18" t="s">
        <v>34</v>
      </c>
      <c r="F152" s="4"/>
      <c r="G152" s="4"/>
      <c r="H152" s="17"/>
    </row>
    <row r="153" spans="1:8" x14ac:dyDescent="0.25">
      <c r="A153">
        <v>2008</v>
      </c>
      <c r="B153" s="4">
        <f t="shared" ref="B153:D168" si="121">B135+B113+B25+B47+B91+B69+B3</f>
        <v>266655</v>
      </c>
      <c r="C153" s="4">
        <f t="shared" si="121"/>
        <v>28815</v>
      </c>
      <c r="D153" s="4">
        <f t="shared" si="121"/>
        <v>112708</v>
      </c>
      <c r="F153" s="4">
        <f t="shared" si="112"/>
        <v>295470</v>
      </c>
      <c r="G153" s="4">
        <f t="shared" si="113"/>
        <v>112708</v>
      </c>
      <c r="H153" s="17">
        <f t="shared" si="114"/>
        <v>408178</v>
      </c>
    </row>
    <row r="154" spans="1:8" x14ac:dyDescent="0.25">
      <c r="A154">
        <v>2009</v>
      </c>
      <c r="B154" s="4">
        <f t="shared" si="121"/>
        <v>243043</v>
      </c>
      <c r="C154" s="4">
        <f t="shared" si="121"/>
        <v>25326</v>
      </c>
      <c r="D154" s="4">
        <f t="shared" si="121"/>
        <v>108886</v>
      </c>
      <c r="F154" s="4">
        <f t="shared" si="112"/>
        <v>268369</v>
      </c>
      <c r="G154" s="4">
        <f t="shared" si="113"/>
        <v>108886</v>
      </c>
      <c r="H154" s="17">
        <f t="shared" si="114"/>
        <v>377255</v>
      </c>
    </row>
    <row r="155" spans="1:8" x14ac:dyDescent="0.25">
      <c r="A155">
        <v>2010</v>
      </c>
      <c r="B155" s="4">
        <f t="shared" si="121"/>
        <v>255204</v>
      </c>
      <c r="C155" s="4">
        <f t="shared" si="121"/>
        <v>26187</v>
      </c>
      <c r="D155" s="4">
        <f t="shared" si="121"/>
        <v>72690</v>
      </c>
      <c r="F155" s="4">
        <f t="shared" si="112"/>
        <v>281391</v>
      </c>
      <c r="G155" s="4">
        <f t="shared" si="113"/>
        <v>72690</v>
      </c>
      <c r="H155" s="17">
        <f t="shared" si="114"/>
        <v>354081</v>
      </c>
    </row>
    <row r="156" spans="1:8" x14ac:dyDescent="0.25">
      <c r="A156">
        <v>2011</v>
      </c>
      <c r="B156" s="4">
        <f t="shared" si="121"/>
        <v>260331</v>
      </c>
      <c r="C156" s="4">
        <f t="shared" si="121"/>
        <v>23392</v>
      </c>
      <c r="D156" s="4">
        <f t="shared" si="121"/>
        <v>124905</v>
      </c>
      <c r="F156" s="4">
        <f t="shared" si="112"/>
        <v>283723</v>
      </c>
      <c r="G156" s="4">
        <f t="shared" si="113"/>
        <v>124905</v>
      </c>
      <c r="H156" s="17">
        <f t="shared" si="114"/>
        <v>408628</v>
      </c>
    </row>
    <row r="157" spans="1:8" x14ac:dyDescent="0.25">
      <c r="A157">
        <v>2012</v>
      </c>
      <c r="B157" s="4">
        <f t="shared" si="121"/>
        <v>257877</v>
      </c>
      <c r="C157" s="4">
        <f t="shared" si="121"/>
        <v>22560</v>
      </c>
      <c r="D157" s="4">
        <f t="shared" si="121"/>
        <v>90556</v>
      </c>
      <c r="F157" s="4">
        <f t="shared" si="112"/>
        <v>280437</v>
      </c>
      <c r="G157" s="4">
        <f t="shared" si="113"/>
        <v>90556</v>
      </c>
      <c r="H157" s="17">
        <f t="shared" si="114"/>
        <v>370993</v>
      </c>
    </row>
    <row r="158" spans="1:8" x14ac:dyDescent="0.25">
      <c r="A158">
        <v>2013</v>
      </c>
      <c r="B158" s="4">
        <f t="shared" si="121"/>
        <v>234023</v>
      </c>
      <c r="C158" s="4">
        <f t="shared" si="121"/>
        <v>26270</v>
      </c>
      <c r="D158" s="4">
        <f t="shared" si="121"/>
        <v>76341</v>
      </c>
      <c r="F158" s="4">
        <f t="shared" si="112"/>
        <v>260293</v>
      </c>
      <c r="G158" s="4">
        <f t="shared" si="113"/>
        <v>76341</v>
      </c>
      <c r="H158" s="17">
        <f t="shared" si="114"/>
        <v>336634</v>
      </c>
    </row>
    <row r="159" spans="1:8" x14ac:dyDescent="0.25">
      <c r="A159">
        <v>2014</v>
      </c>
      <c r="B159" s="4">
        <f t="shared" si="121"/>
        <v>214814.88800000001</v>
      </c>
      <c r="C159" s="4">
        <f t="shared" si="121"/>
        <v>22845.355999999996</v>
      </c>
      <c r="D159" s="4">
        <f t="shared" si="121"/>
        <v>75288.367999999988</v>
      </c>
      <c r="F159" s="4">
        <f t="shared" si="112"/>
        <v>237660.24400000001</v>
      </c>
      <c r="G159" s="4">
        <f t="shared" si="113"/>
        <v>75288.367999999988</v>
      </c>
      <c r="H159" s="17">
        <f t="shared" si="114"/>
        <v>312948.61199999996</v>
      </c>
    </row>
    <row r="160" spans="1:8" x14ac:dyDescent="0.25">
      <c r="A160">
        <v>2015</v>
      </c>
      <c r="B160" s="4">
        <f t="shared" si="121"/>
        <v>241858.58300000004</v>
      </c>
      <c r="C160" s="4">
        <f t="shared" si="121"/>
        <v>21886.842000000001</v>
      </c>
      <c r="D160" s="4">
        <f t="shared" si="121"/>
        <v>41761.932999999997</v>
      </c>
      <c r="F160" s="4">
        <f t="shared" si="112"/>
        <v>263745.42500000005</v>
      </c>
      <c r="G160" s="4">
        <f t="shared" si="113"/>
        <v>41761.932999999997</v>
      </c>
      <c r="H160" s="17">
        <f t="shared" si="114"/>
        <v>305507.35800000007</v>
      </c>
    </row>
    <row r="161" spans="1:8" x14ac:dyDescent="0.25">
      <c r="A161">
        <v>2016</v>
      </c>
      <c r="B161" s="4">
        <f t="shared" si="121"/>
        <v>227248.57799999998</v>
      </c>
      <c r="C161" s="4">
        <f t="shared" si="121"/>
        <v>24076.486999999997</v>
      </c>
      <c r="D161" s="4">
        <f t="shared" si="121"/>
        <v>54669.030000000006</v>
      </c>
      <c r="F161" s="4">
        <f t="shared" si="112"/>
        <v>251325.06499999997</v>
      </c>
      <c r="G161" s="4">
        <f t="shared" si="113"/>
        <v>54669.030000000006</v>
      </c>
      <c r="H161" s="17">
        <f t="shared" si="114"/>
        <v>305994.09499999997</v>
      </c>
    </row>
    <row r="162" spans="1:8" x14ac:dyDescent="0.25">
      <c r="A162">
        <v>2017</v>
      </c>
      <c r="B162" s="4">
        <f t="shared" si="121"/>
        <v>262937.283</v>
      </c>
      <c r="C162" s="4">
        <f t="shared" si="121"/>
        <v>22795.222999999998</v>
      </c>
      <c r="D162" s="4">
        <f t="shared" si="121"/>
        <v>74119.466</v>
      </c>
      <c r="F162" s="4">
        <f t="shared" ref="F162" si="122">B162+C162</f>
        <v>285732.50599999999</v>
      </c>
      <c r="G162" s="4">
        <f t="shared" ref="G162" si="123">D162</f>
        <v>74119.466</v>
      </c>
      <c r="H162" s="17">
        <f t="shared" ref="H162" si="124">F162+G162</f>
        <v>359851.97200000001</v>
      </c>
    </row>
    <row r="163" spans="1:8" x14ac:dyDescent="0.25">
      <c r="A163">
        <v>2018</v>
      </c>
      <c r="B163" s="4">
        <f t="shared" si="121"/>
        <v>245092</v>
      </c>
      <c r="C163" s="4">
        <f t="shared" si="121"/>
        <v>22098</v>
      </c>
      <c r="D163" s="4">
        <f t="shared" si="121"/>
        <v>83950</v>
      </c>
      <c r="F163" s="4">
        <f t="shared" ref="F163" si="125">B163+C163</f>
        <v>267190</v>
      </c>
      <c r="G163" s="4">
        <f t="shared" ref="G163" si="126">D163</f>
        <v>83950</v>
      </c>
      <c r="H163" s="17">
        <f t="shared" ref="H163" si="127">F163+G163</f>
        <v>351140</v>
      </c>
    </row>
    <row r="164" spans="1:8" x14ac:dyDescent="0.25">
      <c r="A164">
        <v>2019</v>
      </c>
      <c r="B164" s="4">
        <f t="shared" si="121"/>
        <v>241488.95099999997</v>
      </c>
      <c r="C164" s="4">
        <f t="shared" si="121"/>
        <v>23802.585999999999</v>
      </c>
      <c r="D164" s="4">
        <f t="shared" si="121"/>
        <v>73728.097999999998</v>
      </c>
      <c r="F164" s="4">
        <f t="shared" ref="F164" si="128">B164+C164</f>
        <v>265291.53699999995</v>
      </c>
      <c r="G164" s="4">
        <f t="shared" ref="G164" si="129">D164</f>
        <v>73728.097999999998</v>
      </c>
      <c r="H164" s="17">
        <f t="shared" ref="H164" si="130">F164+G164</f>
        <v>339019.63499999995</v>
      </c>
    </row>
    <row r="165" spans="1:8" x14ac:dyDescent="0.25">
      <c r="A165">
        <v>2020</v>
      </c>
      <c r="B165" s="4">
        <f t="shared" si="121"/>
        <v>217990.777</v>
      </c>
      <c r="C165" s="4">
        <f t="shared" si="121"/>
        <v>26782.156000000003</v>
      </c>
      <c r="D165" s="4">
        <f t="shared" si="121"/>
        <v>97684.34</v>
      </c>
      <c r="F165" s="4">
        <f t="shared" ref="F165" si="131">B165+C165</f>
        <v>244772.93300000002</v>
      </c>
      <c r="G165" s="4">
        <f t="shared" ref="G165" si="132">D165</f>
        <v>97684.34</v>
      </c>
      <c r="H165" s="17">
        <f t="shared" ref="H165" si="133">F165+G165</f>
        <v>342457.27300000004</v>
      </c>
    </row>
    <row r="166" spans="1:8" x14ac:dyDescent="0.25">
      <c r="A166">
        <v>2021</v>
      </c>
      <c r="B166" s="4">
        <f t="shared" si="121"/>
        <v>206580.27600000004</v>
      </c>
      <c r="C166" s="4">
        <f t="shared" si="121"/>
        <v>25744.463</v>
      </c>
      <c r="D166" s="4">
        <f t="shared" si="121"/>
        <v>74283.284</v>
      </c>
      <c r="F166" s="4">
        <f t="shared" ref="F166:F167" si="134">B166+C166</f>
        <v>232324.73900000003</v>
      </c>
      <c r="G166" s="4">
        <f t="shared" ref="G166:G167" si="135">D166</f>
        <v>74283.284</v>
      </c>
      <c r="H166" s="17">
        <f t="shared" ref="H166:H167" si="136">F166+G166</f>
        <v>306608.02300000004</v>
      </c>
    </row>
    <row r="167" spans="1:8" x14ac:dyDescent="0.25">
      <c r="A167">
        <v>2022</v>
      </c>
      <c r="B167" s="4">
        <f t="shared" si="121"/>
        <v>228121.92099999997</v>
      </c>
      <c r="C167" s="4">
        <f t="shared" si="121"/>
        <v>27727.264000000003</v>
      </c>
      <c r="D167" s="4">
        <f t="shared" si="121"/>
        <v>111023.97300000001</v>
      </c>
      <c r="F167" s="4">
        <f t="shared" si="134"/>
        <v>255849.18499999997</v>
      </c>
      <c r="G167" s="4">
        <f t="shared" si="135"/>
        <v>111023.97300000001</v>
      </c>
      <c r="H167" s="17">
        <f t="shared" si="136"/>
        <v>366873.158</v>
      </c>
    </row>
    <row r="168" spans="1:8" x14ac:dyDescent="0.25">
      <c r="A168">
        <v>2023</v>
      </c>
      <c r="B168" s="4">
        <f t="shared" si="121"/>
        <v>206607.09100000001</v>
      </c>
      <c r="C168" s="4">
        <f t="shared" si="121"/>
        <v>23614.508999999998</v>
      </c>
      <c r="D168" s="4">
        <f t="shared" si="121"/>
        <v>69764.98</v>
      </c>
      <c r="F168" s="4">
        <f t="shared" ref="F168" si="137">B168+C168</f>
        <v>230221.6</v>
      </c>
      <c r="G168" s="4">
        <f t="shared" ref="G168" si="138">D168</f>
        <v>69764.98</v>
      </c>
      <c r="H168" s="17">
        <f t="shared" ref="H168" si="139">F168+G168</f>
        <v>299986.58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7585-8367-4910-AA86-E27A604C2955}">
  <dimension ref="A2:K80"/>
  <sheetViews>
    <sheetView topLeftCell="A3" workbookViewId="0">
      <selection activeCell="C30" sqref="C30"/>
    </sheetView>
  </sheetViews>
  <sheetFormatPr defaultColWidth="9.140625" defaultRowHeight="14.25" x14ac:dyDescent="0.2"/>
  <cols>
    <col min="1" max="1" width="1.140625" style="126" customWidth="1"/>
    <col min="2" max="2" width="10.7109375" style="126" customWidth="1"/>
    <col min="3" max="3" width="20.7109375" style="153" customWidth="1"/>
    <col min="4" max="4" width="20.7109375" style="126" customWidth="1"/>
    <col min="5" max="5" width="21" style="126" customWidth="1"/>
    <col min="6" max="6" width="11.85546875" style="126" customWidth="1"/>
    <col min="7" max="7" width="9.140625" style="126"/>
    <col min="8" max="8" width="9.5703125" style="126" bestFit="1" customWidth="1"/>
    <col min="9" max="16384" width="9.140625" style="126"/>
  </cols>
  <sheetData>
    <row r="2" spans="2:6" s="122" customFormat="1" ht="18" x14ac:dyDescent="0.25">
      <c r="B2" s="121" t="s">
        <v>55</v>
      </c>
      <c r="C2" s="147"/>
    </row>
    <row r="3" spans="2:6" s="122" customFormat="1" ht="18" x14ac:dyDescent="0.25">
      <c r="B3" s="121" t="s">
        <v>56</v>
      </c>
      <c r="C3" s="147"/>
    </row>
    <row r="5" spans="2:6" ht="15.75" x14ac:dyDescent="0.25">
      <c r="B5" s="124" t="s">
        <v>0</v>
      </c>
      <c r="C5" s="124" t="s">
        <v>57</v>
      </c>
      <c r="D5" s="124" t="s">
        <v>65</v>
      </c>
      <c r="E5" s="125"/>
    </row>
    <row r="6" spans="2:6" s="125" customFormat="1" ht="17.100000000000001" customHeight="1" x14ac:dyDescent="0.25">
      <c r="B6" s="128">
        <v>2003</v>
      </c>
      <c r="C6" s="148">
        <v>669000</v>
      </c>
    </row>
    <row r="7" spans="2:6" s="125" customFormat="1" ht="17.100000000000001" customHeight="1" x14ac:dyDescent="0.25">
      <c r="B7" s="128">
        <v>2004</v>
      </c>
      <c r="C7" s="148">
        <v>2176100</v>
      </c>
      <c r="E7" s="127">
        <f>AVERAGE(C6:C26)</f>
        <v>634057.14285714284</v>
      </c>
    </row>
    <row r="8" spans="2:6" s="125" customFormat="1" ht="17.100000000000001" customHeight="1" x14ac:dyDescent="0.25">
      <c r="B8" s="128">
        <v>2005</v>
      </c>
      <c r="C8" s="148">
        <v>764000</v>
      </c>
    </row>
    <row r="9" spans="2:6" s="125" customFormat="1" ht="17.100000000000001" customHeight="1" x14ac:dyDescent="0.25">
      <c r="B9" s="128">
        <v>2006</v>
      </c>
      <c r="C9" s="148">
        <v>201600</v>
      </c>
    </row>
    <row r="10" spans="2:6" s="125" customFormat="1" ht="17.100000000000001" customHeight="1" x14ac:dyDescent="0.25">
      <c r="B10" s="128">
        <v>2007</v>
      </c>
      <c r="C10" s="149">
        <v>2162300</v>
      </c>
      <c r="F10" s="127"/>
    </row>
    <row r="11" spans="2:6" s="125" customFormat="1" ht="17.100000000000001" customHeight="1" x14ac:dyDescent="0.25">
      <c r="B11" s="128">
        <v>2008</v>
      </c>
      <c r="C11" s="149">
        <v>212900</v>
      </c>
      <c r="F11" s="127"/>
    </row>
    <row r="12" spans="2:6" s="125" customFormat="1" ht="17.100000000000001" customHeight="1" x14ac:dyDescent="0.25">
      <c r="B12" s="128">
        <v>2009</v>
      </c>
      <c r="C12" s="149">
        <v>211000</v>
      </c>
      <c r="F12" s="127"/>
    </row>
    <row r="13" spans="2:6" s="125" customFormat="1" ht="17.100000000000001" customHeight="1" x14ac:dyDescent="0.25">
      <c r="B13" s="128">
        <v>2010</v>
      </c>
      <c r="C13" s="149">
        <v>813500</v>
      </c>
      <c r="F13" s="127"/>
    </row>
    <row r="14" spans="2:6" s="125" customFormat="1" ht="17.100000000000001" customHeight="1" x14ac:dyDescent="0.25">
      <c r="B14" s="128">
        <v>2011</v>
      </c>
      <c r="C14" s="149">
        <v>112000</v>
      </c>
      <c r="D14" s="127"/>
    </row>
    <row r="15" spans="2:6" s="125" customFormat="1" ht="17.100000000000001" customHeight="1" x14ac:dyDescent="0.25">
      <c r="B15" s="128">
        <v>2012</v>
      </c>
      <c r="C15" s="149">
        <v>313500</v>
      </c>
      <c r="D15" s="127"/>
    </row>
    <row r="16" spans="2:6" s="125" customFormat="1" ht="17.100000000000001" customHeight="1" x14ac:dyDescent="0.25">
      <c r="B16" s="128">
        <v>2013</v>
      </c>
      <c r="C16" s="180">
        <v>182700</v>
      </c>
      <c r="D16" s="127">
        <f t="shared" ref="D16:D30" si="0">AVERAGE(C7:C16)</f>
        <v>714960</v>
      </c>
    </row>
    <row r="17" spans="1:11" s="125" customFormat="1" ht="17.100000000000001" customHeight="1" x14ac:dyDescent="0.25">
      <c r="B17" s="128">
        <v>2014</v>
      </c>
      <c r="C17" s="151">
        <v>107200</v>
      </c>
      <c r="D17" s="127">
        <f t="shared" si="0"/>
        <v>508070</v>
      </c>
    </row>
    <row r="18" spans="1:11" s="125" customFormat="1" ht="17.100000000000001" customHeight="1" x14ac:dyDescent="0.25">
      <c r="B18" s="128">
        <v>2015</v>
      </c>
      <c r="C18" s="151">
        <v>1358300</v>
      </c>
      <c r="D18" s="127">
        <f t="shared" si="0"/>
        <v>567500</v>
      </c>
    </row>
    <row r="19" spans="1:11" s="125" customFormat="1" ht="17.100000000000001" customHeight="1" x14ac:dyDescent="0.25">
      <c r="B19" s="128">
        <v>2016</v>
      </c>
      <c r="C19" s="151">
        <v>1221100</v>
      </c>
      <c r="D19" s="127">
        <f t="shared" si="0"/>
        <v>669450</v>
      </c>
    </row>
    <row r="20" spans="1:11" s="125" customFormat="1" ht="17.100000000000001" customHeight="1" x14ac:dyDescent="0.25">
      <c r="B20" s="128">
        <v>2017</v>
      </c>
      <c r="C20" s="151">
        <v>487000</v>
      </c>
      <c r="D20" s="127">
        <f t="shared" si="0"/>
        <v>501920</v>
      </c>
    </row>
    <row r="21" spans="1:11" s="125" customFormat="1" ht="17.100000000000001" customHeight="1" x14ac:dyDescent="0.25">
      <c r="B21" s="128">
        <v>2018</v>
      </c>
      <c r="C21" s="150">
        <v>1100000</v>
      </c>
      <c r="D21" s="127">
        <f t="shared" si="0"/>
        <v>590630</v>
      </c>
    </row>
    <row r="22" spans="1:11" s="125" customFormat="1" ht="17.100000000000001" customHeight="1" x14ac:dyDescent="0.25">
      <c r="B22" s="128">
        <v>2019</v>
      </c>
      <c r="C22" s="150">
        <v>492000</v>
      </c>
      <c r="D22" s="127">
        <f t="shared" si="0"/>
        <v>618730</v>
      </c>
    </row>
    <row r="23" spans="1:11" s="125" customFormat="1" ht="17.100000000000001" customHeight="1" x14ac:dyDescent="0.25">
      <c r="B23" s="128">
        <v>2020</v>
      </c>
      <c r="C23" s="150">
        <v>184000</v>
      </c>
      <c r="D23" s="127">
        <f t="shared" si="0"/>
        <v>555780</v>
      </c>
      <c r="H23" s="127"/>
    </row>
    <row r="24" spans="1:11" s="125" customFormat="1" ht="17.100000000000001" customHeight="1" x14ac:dyDescent="0.25">
      <c r="B24" s="128">
        <v>2021</v>
      </c>
      <c r="C24" s="150">
        <v>244000</v>
      </c>
      <c r="D24" s="127">
        <f t="shared" si="0"/>
        <v>568980</v>
      </c>
      <c r="F24"/>
      <c r="G24"/>
    </row>
    <row r="25" spans="1:11" s="125" customFormat="1" ht="17.100000000000001" customHeight="1" x14ac:dyDescent="0.25">
      <c r="B25" s="128">
        <v>2022</v>
      </c>
      <c r="C25" s="150">
        <v>156000</v>
      </c>
      <c r="D25" s="127">
        <f t="shared" si="0"/>
        <v>553230</v>
      </c>
      <c r="F25"/>
      <c r="G25"/>
    </row>
    <row r="26" spans="1:11" ht="17.100000000000001" customHeight="1" x14ac:dyDescent="0.25">
      <c r="A26"/>
      <c r="B26" s="128">
        <v>2023</v>
      </c>
      <c r="C26" s="150">
        <v>147000</v>
      </c>
      <c r="D26" s="157">
        <f t="shared" si="0"/>
        <v>549660</v>
      </c>
      <c r="E26" s="123" t="s">
        <v>66</v>
      </c>
      <c r="F26"/>
      <c r="G26"/>
      <c r="H26"/>
      <c r="I26"/>
      <c r="J26"/>
      <c r="K26"/>
    </row>
    <row r="27" spans="1:11" ht="17.100000000000001" customHeight="1" x14ac:dyDescent="0.25">
      <c r="A27"/>
      <c r="B27" s="128">
        <v>2024</v>
      </c>
      <c r="C27" s="2">
        <v>635000</v>
      </c>
      <c r="D27" s="127">
        <f t="shared" si="0"/>
        <v>602440</v>
      </c>
      <c r="E27"/>
      <c r="F27"/>
      <c r="G27"/>
      <c r="H27"/>
      <c r="I27"/>
      <c r="J27"/>
      <c r="K27"/>
    </row>
    <row r="28" spans="1:11" ht="17.100000000000001" customHeight="1" x14ac:dyDescent="0.25">
      <c r="A28"/>
      <c r="B28" s="128">
        <v>2025</v>
      </c>
      <c r="C28" s="2">
        <v>635000</v>
      </c>
      <c r="D28" s="127">
        <f t="shared" si="0"/>
        <v>530110</v>
      </c>
      <c r="E28"/>
      <c r="F28"/>
      <c r="G28"/>
      <c r="H28"/>
      <c r="I28"/>
      <c r="J28"/>
      <c r="K28"/>
    </row>
    <row r="29" spans="1:11" ht="17.100000000000001" customHeight="1" x14ac:dyDescent="0.25">
      <c r="A29"/>
      <c r="B29" s="128">
        <v>2026</v>
      </c>
      <c r="C29" s="2">
        <v>635000</v>
      </c>
      <c r="D29" s="127">
        <f t="shared" si="0"/>
        <v>471500</v>
      </c>
      <c r="E29"/>
      <c r="F29"/>
      <c r="G29"/>
      <c r="H29"/>
      <c r="I29"/>
      <c r="J29"/>
      <c r="K29"/>
    </row>
    <row r="30" spans="1:11" s="125" customFormat="1" ht="17.100000000000001" customHeight="1" x14ac:dyDescent="0.25">
      <c r="A30"/>
      <c r="B30" s="128">
        <v>2027</v>
      </c>
      <c r="C30" s="2">
        <v>635000</v>
      </c>
      <c r="D30" s="127">
        <f t="shared" si="0"/>
        <v>486300</v>
      </c>
      <c r="E30"/>
      <c r="F30"/>
      <c r="G30"/>
      <c r="H30"/>
      <c r="I30"/>
      <c r="J30"/>
      <c r="K30"/>
    </row>
    <row r="31" spans="1:11" s="125" customFormat="1" ht="17.100000000000001" customHeight="1" x14ac:dyDescent="0.25">
      <c r="A31"/>
      <c r="B31" s="128"/>
      <c r="C31" s="2"/>
      <c r="D31"/>
      <c r="E31"/>
      <c r="F31"/>
      <c r="G31"/>
      <c r="H31"/>
      <c r="I31"/>
      <c r="J31"/>
      <c r="K31"/>
    </row>
    <row r="32" spans="1:11" s="125" customFormat="1" ht="17.100000000000001" customHeight="1" x14ac:dyDescent="0.25">
      <c r="A32"/>
      <c r="B32" s="128"/>
      <c r="C32" s="2"/>
      <c r="D32"/>
      <c r="E32"/>
      <c r="F32"/>
      <c r="G32"/>
      <c r="H32"/>
      <c r="I32"/>
      <c r="J32"/>
      <c r="K32"/>
    </row>
    <row r="33" spans="1:11" s="125" customFormat="1" ht="17.100000000000001" customHeight="1" x14ac:dyDescent="0.25">
      <c r="A33"/>
      <c r="B33" s="128"/>
      <c r="C33" s="2"/>
      <c r="D33"/>
      <c r="E33"/>
      <c r="F33"/>
      <c r="G33"/>
      <c r="H33"/>
      <c r="I33"/>
      <c r="J33"/>
      <c r="K33"/>
    </row>
    <row r="34" spans="1:11" s="125" customFormat="1" ht="17.100000000000001" customHeight="1" x14ac:dyDescent="0.25">
      <c r="A34"/>
      <c r="B34" s="154" t="s">
        <v>58</v>
      </c>
      <c r="C34" s="2"/>
      <c r="D34"/>
      <c r="E34"/>
      <c r="F34"/>
      <c r="G34"/>
      <c r="H34"/>
      <c r="I34"/>
      <c r="J34"/>
      <c r="K34"/>
    </row>
    <row r="35" spans="1:11" s="125" customFormat="1" ht="17.100000000000001" customHeight="1" x14ac:dyDescent="0.25">
      <c r="B35" s="155"/>
      <c r="J35"/>
      <c r="K35"/>
    </row>
    <row r="36" spans="1:11" s="125" customFormat="1" ht="17.100000000000001" customHeight="1" x14ac:dyDescent="0.25">
      <c r="B36" s="154" t="s">
        <v>59</v>
      </c>
      <c r="J36"/>
      <c r="K36"/>
    </row>
    <row r="37" spans="1:11" s="125" customFormat="1" ht="17.100000000000001" customHeight="1" x14ac:dyDescent="0.25">
      <c r="B37" s="125" t="s">
        <v>60</v>
      </c>
      <c r="J37"/>
      <c r="K37"/>
    </row>
    <row r="38" spans="1:11" s="125" customFormat="1" ht="17.100000000000001" customHeight="1" x14ac:dyDescent="0.25">
      <c r="A38"/>
      <c r="B38"/>
      <c r="C38" s="152"/>
      <c r="J38"/>
      <c r="K38"/>
    </row>
    <row r="39" spans="1:11" s="125" customFormat="1" ht="17.100000000000001" customHeight="1" x14ac:dyDescent="0.25">
      <c r="A39"/>
      <c r="B39"/>
      <c r="C39" s="2"/>
      <c r="D39"/>
      <c r="E39"/>
      <c r="F39"/>
      <c r="G39"/>
      <c r="H39"/>
      <c r="I39"/>
      <c r="J39"/>
      <c r="K39"/>
    </row>
    <row r="40" spans="1:11" s="125" customFormat="1" ht="17.100000000000001" customHeight="1" x14ac:dyDescent="0.25">
      <c r="A40"/>
      <c r="B40"/>
      <c r="C40" s="2"/>
      <c r="D40"/>
      <c r="E40"/>
      <c r="F40"/>
      <c r="G40"/>
      <c r="H40"/>
      <c r="I40"/>
      <c r="J40"/>
      <c r="K40"/>
    </row>
    <row r="41" spans="1:11" s="125" customFormat="1" ht="17.100000000000001" customHeight="1" x14ac:dyDescent="0.25">
      <c r="A41"/>
      <c r="B41"/>
      <c r="C41" s="2"/>
      <c r="D41"/>
      <c r="E41"/>
      <c r="F41"/>
      <c r="G41"/>
      <c r="H41"/>
      <c r="I41"/>
      <c r="J41"/>
      <c r="K41"/>
    </row>
    <row r="42" spans="1:11" s="125" customFormat="1" ht="17.100000000000001" customHeight="1" x14ac:dyDescent="0.25">
      <c r="A42"/>
      <c r="B42"/>
      <c r="C42" s="2"/>
      <c r="D42"/>
      <c r="E42"/>
      <c r="F42"/>
      <c r="G42"/>
      <c r="H42"/>
      <c r="I42"/>
      <c r="J42"/>
      <c r="K42"/>
    </row>
    <row r="43" spans="1:11" s="125" customFormat="1" ht="17.100000000000001" customHeight="1" x14ac:dyDescent="0.25">
      <c r="A43"/>
      <c r="B43"/>
      <c r="C43" s="2"/>
      <c r="D43"/>
      <c r="E43"/>
      <c r="F43"/>
      <c r="G43"/>
      <c r="H43"/>
      <c r="I43"/>
      <c r="J43"/>
      <c r="K43"/>
    </row>
    <row r="44" spans="1:11" s="125" customFormat="1" ht="17.100000000000001" customHeight="1" x14ac:dyDescent="0.25">
      <c r="A44"/>
      <c r="B44"/>
      <c r="C44" s="2"/>
      <c r="D44"/>
      <c r="E44"/>
      <c r="F44"/>
      <c r="G44"/>
      <c r="H44"/>
      <c r="I44"/>
      <c r="J44"/>
      <c r="K44"/>
    </row>
    <row r="45" spans="1:11" s="125" customFormat="1" ht="17.100000000000001" customHeight="1" x14ac:dyDescent="0.25">
      <c r="A45"/>
      <c r="B45"/>
      <c r="C45" s="2"/>
      <c r="D45"/>
      <c r="E45"/>
      <c r="F45"/>
      <c r="G45"/>
      <c r="H45"/>
      <c r="I45"/>
      <c r="J45"/>
      <c r="K45"/>
    </row>
    <row r="46" spans="1:11" s="125" customFormat="1" ht="17.100000000000001" customHeight="1" x14ac:dyDescent="0.25">
      <c r="A46"/>
      <c r="B46"/>
      <c r="C46" s="2"/>
      <c r="D46"/>
      <c r="E46"/>
      <c r="F46"/>
      <c r="G46"/>
      <c r="H46"/>
      <c r="I46"/>
      <c r="J46"/>
      <c r="K46"/>
    </row>
    <row r="47" spans="1:11" s="125" customFormat="1" ht="17.100000000000001" customHeight="1" x14ac:dyDescent="0.25">
      <c r="A47"/>
      <c r="B47"/>
      <c r="C47" s="2"/>
      <c r="D47"/>
      <c r="E47"/>
      <c r="F47"/>
      <c r="G47"/>
      <c r="H47"/>
      <c r="I47"/>
      <c r="J47"/>
      <c r="K47"/>
    </row>
    <row r="48" spans="1:11" s="125" customFormat="1" ht="17.100000000000001" customHeight="1" x14ac:dyDescent="0.25">
      <c r="A48"/>
      <c r="B48"/>
      <c r="C48" s="2"/>
      <c r="D48"/>
      <c r="E48"/>
      <c r="F48"/>
      <c r="G48"/>
      <c r="H48"/>
      <c r="I48"/>
      <c r="J48"/>
      <c r="K48"/>
    </row>
    <row r="49" spans="1:11" s="125" customFormat="1" ht="17.100000000000001" customHeight="1" x14ac:dyDescent="0.25">
      <c r="A49"/>
      <c r="B49"/>
      <c r="C49" s="2"/>
      <c r="D49"/>
      <c r="E49"/>
      <c r="F49"/>
      <c r="G49"/>
      <c r="H49"/>
      <c r="I49"/>
      <c r="J49"/>
      <c r="K49"/>
    </row>
    <row r="50" spans="1:11" s="125" customFormat="1" ht="17.100000000000001" customHeight="1" x14ac:dyDescent="0.25">
      <c r="A50"/>
      <c r="B50"/>
      <c r="C50" s="2"/>
      <c r="D50"/>
      <c r="E50"/>
      <c r="F50"/>
      <c r="G50"/>
      <c r="H50"/>
      <c r="I50"/>
      <c r="J50"/>
      <c r="K50"/>
    </row>
    <row r="51" spans="1:11" s="125" customFormat="1" ht="17.100000000000001" customHeight="1" x14ac:dyDescent="0.25">
      <c r="A51"/>
      <c r="B51"/>
      <c r="C51" s="2"/>
      <c r="D51"/>
      <c r="E51"/>
      <c r="F51"/>
      <c r="G51"/>
      <c r="H51"/>
      <c r="I51"/>
      <c r="J51"/>
      <c r="K51"/>
    </row>
    <row r="52" spans="1:11" s="125" customFormat="1" ht="17.100000000000001" customHeight="1" x14ac:dyDescent="0.25">
      <c r="A52"/>
      <c r="B52"/>
      <c r="C52" s="2"/>
      <c r="D52"/>
      <c r="E52"/>
      <c r="F52"/>
      <c r="G52"/>
      <c r="H52"/>
      <c r="I52"/>
      <c r="J52"/>
      <c r="K52"/>
    </row>
    <row r="53" spans="1:11" s="125" customFormat="1" ht="17.100000000000001" customHeight="1" x14ac:dyDescent="0.25">
      <c r="A53"/>
      <c r="B53"/>
      <c r="C53" s="2"/>
      <c r="D53"/>
      <c r="E53"/>
      <c r="F53"/>
      <c r="G53"/>
      <c r="H53"/>
      <c r="I53"/>
      <c r="J53"/>
      <c r="K53"/>
    </row>
    <row r="54" spans="1:11" s="125" customFormat="1" ht="17.100000000000001" customHeight="1" x14ac:dyDescent="0.25">
      <c r="A54"/>
      <c r="B54"/>
      <c r="C54" s="2"/>
      <c r="D54"/>
      <c r="E54"/>
      <c r="F54"/>
      <c r="G54"/>
      <c r="H54"/>
      <c r="I54"/>
      <c r="J54"/>
      <c r="K54"/>
    </row>
    <row r="55" spans="1:11" s="125" customFormat="1" ht="17.100000000000001" customHeight="1" x14ac:dyDescent="0.25">
      <c r="A55"/>
      <c r="B55"/>
      <c r="C55" s="2"/>
      <c r="D55"/>
      <c r="E55"/>
      <c r="F55"/>
      <c r="G55"/>
      <c r="H55"/>
      <c r="I55"/>
      <c r="J55"/>
      <c r="K55"/>
    </row>
    <row r="56" spans="1:11" s="125" customFormat="1" ht="17.100000000000001" customHeight="1" x14ac:dyDescent="0.25">
      <c r="A56"/>
      <c r="B56"/>
      <c r="C56" s="2"/>
      <c r="D56"/>
      <c r="E56"/>
      <c r="F56"/>
      <c r="G56"/>
      <c r="H56"/>
      <c r="I56"/>
      <c r="J56"/>
      <c r="K56"/>
    </row>
    <row r="57" spans="1:11" s="125" customFormat="1" ht="17.100000000000001" customHeight="1" x14ac:dyDescent="0.25">
      <c r="A57"/>
      <c r="B57"/>
      <c r="C57" s="2"/>
      <c r="D57"/>
      <c r="E57"/>
      <c r="F57"/>
      <c r="G57"/>
      <c r="H57"/>
      <c r="I57"/>
      <c r="J57"/>
      <c r="K57"/>
    </row>
    <row r="58" spans="1:11" s="125" customFormat="1" ht="17.100000000000001" customHeight="1" x14ac:dyDescent="0.25">
      <c r="A58"/>
      <c r="B58"/>
      <c r="C58" s="2"/>
      <c r="D58"/>
      <c r="E58"/>
      <c r="F58"/>
      <c r="G58"/>
      <c r="H58"/>
      <c r="I58"/>
      <c r="J58"/>
      <c r="K58"/>
    </row>
    <row r="59" spans="1:11" s="125" customFormat="1" ht="17.100000000000001" customHeight="1" x14ac:dyDescent="0.25">
      <c r="A59"/>
      <c r="B59"/>
      <c r="C59" s="2"/>
      <c r="D59"/>
      <c r="E59"/>
      <c r="F59"/>
      <c r="G59"/>
      <c r="H59"/>
      <c r="I59"/>
      <c r="J59"/>
      <c r="K59"/>
    </row>
    <row r="60" spans="1:11" s="125" customFormat="1" ht="17.100000000000001" customHeight="1" x14ac:dyDescent="0.25">
      <c r="A60"/>
      <c r="B60"/>
      <c r="C60" s="2"/>
      <c r="D60"/>
      <c r="E60"/>
      <c r="F60"/>
      <c r="G60"/>
      <c r="H60"/>
      <c r="I60"/>
      <c r="J60"/>
      <c r="K60"/>
    </row>
    <row r="61" spans="1:11" s="125" customFormat="1" ht="17.100000000000001" customHeight="1" x14ac:dyDescent="0.25">
      <c r="A61"/>
      <c r="B61"/>
      <c r="C61" s="2"/>
      <c r="D61"/>
      <c r="E61"/>
      <c r="F61"/>
      <c r="G61"/>
      <c r="H61"/>
      <c r="I61"/>
      <c r="J61"/>
      <c r="K61"/>
    </row>
    <row r="62" spans="1:11" ht="17.100000000000001" customHeight="1" x14ac:dyDescent="0.25">
      <c r="A62"/>
      <c r="B62"/>
      <c r="C62" s="2"/>
      <c r="D62"/>
      <c r="E62"/>
      <c r="F62"/>
      <c r="G62"/>
      <c r="H62"/>
      <c r="I62"/>
      <c r="J62"/>
      <c r="K62"/>
    </row>
    <row r="63" spans="1:11" ht="17.100000000000001" customHeight="1" x14ac:dyDescent="0.25">
      <c r="A63"/>
      <c r="B63"/>
      <c r="C63" s="2"/>
      <c r="D63"/>
      <c r="E63"/>
      <c r="F63"/>
      <c r="G63"/>
      <c r="H63"/>
      <c r="I63"/>
      <c r="J63"/>
      <c r="K63"/>
    </row>
    <row r="64" spans="1:11" ht="17.100000000000001" customHeight="1" x14ac:dyDescent="0.25">
      <c r="A64"/>
      <c r="B64"/>
      <c r="C64" s="2"/>
      <c r="D64"/>
      <c r="E64"/>
      <c r="F64"/>
      <c r="G64"/>
      <c r="H64"/>
      <c r="I64"/>
      <c r="J64"/>
      <c r="K64"/>
    </row>
    <row r="65" spans="4:4" ht="17.100000000000001" customHeight="1" x14ac:dyDescent="0.2"/>
    <row r="66" spans="4:4" ht="17.100000000000001" customHeight="1" x14ac:dyDescent="0.2"/>
    <row r="67" spans="4:4" ht="17.100000000000001" customHeight="1" x14ac:dyDescent="0.2"/>
    <row r="69" spans="4:4" x14ac:dyDescent="0.2">
      <c r="D69" s="129"/>
    </row>
    <row r="70" spans="4:4" x14ac:dyDescent="0.2">
      <c r="D70" s="129"/>
    </row>
    <row r="71" spans="4:4" x14ac:dyDescent="0.2">
      <c r="D71" s="129"/>
    </row>
    <row r="72" spans="4:4" x14ac:dyDescent="0.2">
      <c r="D72" s="129"/>
    </row>
    <row r="73" spans="4:4" x14ac:dyDescent="0.2">
      <c r="D73" s="129"/>
    </row>
    <row r="74" spans="4:4" x14ac:dyDescent="0.2">
      <c r="D74" s="129"/>
    </row>
    <row r="75" spans="4:4" x14ac:dyDescent="0.2">
      <c r="D75" s="129"/>
    </row>
    <row r="76" spans="4:4" x14ac:dyDescent="0.2">
      <c r="D76" s="129"/>
    </row>
    <row r="77" spans="4:4" x14ac:dyDescent="0.2">
      <c r="D77" s="130"/>
    </row>
    <row r="78" spans="4:4" x14ac:dyDescent="0.2">
      <c r="D78" s="130"/>
    </row>
    <row r="80" spans="4:4" x14ac:dyDescent="0.2">
      <c r="D80" s="130"/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03F341640631408A2643E393A60B53" ma:contentTypeVersion="4" ma:contentTypeDescription="Create a new document." ma:contentTypeScope="" ma:versionID="e0bfc2e3fc1aada3540c7000aa650a01">
  <xsd:schema xmlns:xsd="http://www.w3.org/2001/XMLSchema" xmlns:xs="http://www.w3.org/2001/XMLSchema" xmlns:p="http://schemas.microsoft.com/office/2006/metadata/properties" xmlns:ns1="http://schemas.microsoft.com/sharepoint/v3" xmlns:ns2="4b8598d9-10f0-4e4a-b724-2bdbbdf39591" targetNamespace="http://schemas.microsoft.com/office/2006/metadata/properties" ma:root="true" ma:fieldsID="916044e20d8ff787e60ff4acb6d8aa77" ns1:_="" ns2:_="">
    <xsd:import namespace="http://schemas.microsoft.com/sharepoint/v3"/>
    <xsd:import namespace="4b8598d9-10f0-4e4a-b724-2bdbbdf3959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598d9-10f0-4e4a-b724-2bdbbdf39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011E8F-F684-4283-82B5-1DB773207276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4b8598d9-10f0-4e4a-b724-2bdbbdf3959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147AFE-63F4-4B3E-A1B4-F1EBE737CC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b8598d9-10f0-4e4a-b724-2bdbbdf39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3834BE-FF54-40F7-94EE-EDEF8EF827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Permitted</vt:lpstr>
      <vt:lpstr>Pumped</vt:lpstr>
      <vt:lpstr>Recharge</vt:lpstr>
      <vt:lpstr>Permitted!Print_Area</vt:lpstr>
      <vt:lpstr>Pumped!Print_Area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jhernandez</dc:creator>
  <cp:lastModifiedBy>Chad Furl</cp:lastModifiedBy>
  <cp:lastPrinted>2024-06-13T18:55:59Z</cp:lastPrinted>
  <dcterms:created xsi:type="dcterms:W3CDTF">2014-06-12T21:10:47Z</dcterms:created>
  <dcterms:modified xsi:type="dcterms:W3CDTF">2026-07-24T21:58:07Z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0x010100C603F341640631408A2643E393A60B53</vt:lpwstr>
  </property>
</Properties>
</file>